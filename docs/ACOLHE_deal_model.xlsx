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VERDICT" sheetId="1" state="visible" r:id="rId1"/>
    <sheet name="INPUTS" sheetId="2" state="visible" r:id="rId2"/>
    <sheet name="DEAL" sheetId="3" state="visible" r:id="rId3"/>
    <sheet name="GATES" sheetId="4" state="visible" r:id="rId4"/>
    <sheet name="SCENARIOS" sheetId="5" state="visible" r:id="rId5"/>
    <sheet name="BOM" sheetId="6" state="visible" r:id="rId6"/>
    <sheet name="FREIGHT" sheetId="7" state="visible" r:id="rId7"/>
    <sheet name="SOURCES" sheetId="8" state="visible" r:id="rId8"/>
  </sheets>
  <definedNames>
    <definedName name="_xlnm.Print_Area" localSheetId="0">'VERDICT'!$B$1:$H$60</definedName>
  </definedNames>
  <calcPr calcId="124519" fullCalcOnLoad="1" refMode="A1" iterate="0" iterateCount="100" iterateDelta="0.0001"/>
</workbook>
</file>

<file path=xl/styles.xml><?xml version="1.0" encoding="utf-8"?>
<styleSheet xmlns="http://schemas.openxmlformats.org/spreadsheetml/2006/main">
  <numFmts count="13">
    <numFmt numFmtId="164" formatCode="&quot;R$ &quot;#,##0;&quot;(R$ &quot;#,##0\);\-"/>
    <numFmt numFmtId="165" formatCode="&quot;R$ &quot;#,##0.00;&quot;(R$ &quot;#,##0.00\);\-"/>
    <numFmt numFmtId="166" formatCode="#,##0;\(#,##0\);\-"/>
    <numFmt numFmtId="167" formatCode="&quot;US$ &quot;#,##0;&quot;(US$ &quot;#,##0\);\-"/>
    <numFmt numFmtId="168" formatCode="#,##0.0;\(#,##0.0\);\-"/>
    <numFmt numFmtId="169" formatCode="0.0%;\(0.0%\);\-"/>
    <numFmt numFmtId="170" formatCode="0%;\(0%\);\-"/>
    <numFmt numFmtId="171" formatCode="#,##0;(#,##0);-"/>
    <numFmt numFmtId="172" formatCode="0.0%;(0.0%);-"/>
    <numFmt numFmtId="173" formatCode="&quot;R$ &quot;#,##0.00;(&quot;R$ &quot;#,##0.00);-"/>
    <numFmt numFmtId="174" formatCode="&quot;R$ &quot;#,##0;(&quot;R$ &quot;#,##0);-"/>
    <numFmt numFmtId="175" formatCode="#,##0.0;(#,##0.0);-"/>
    <numFmt numFmtId="176" formatCode="0.00%;(0.00%);-"/>
  </numFmts>
  <fonts count="43">
    <font>
      <name val="Calibri"/>
      <charset val="1"/>
      <family val="2"/>
      <color theme="1"/>
      <sz val="11"/>
    </font>
    <font>
      <name val="Arial"/>
      <family val="0"/>
      <sz val="10"/>
    </font>
    <font>
      <name val="Arial"/>
      <family val="0"/>
      <sz val="10"/>
    </font>
    <font>
      <name val="Arial"/>
      <family val="0"/>
      <sz val="10"/>
    </font>
    <font>
      <name val="Arial"/>
      <charset val="1"/>
      <family val="0"/>
      <b val="1"/>
      <color rgb="FF1F3B36"/>
      <sz val="16"/>
    </font>
    <font>
      <name val="Arial"/>
      <charset val="1"/>
      <family val="0"/>
      <color rgb="FF808080"/>
      <sz val="10"/>
    </font>
    <font>
      <name val="Arial"/>
      <charset val="1"/>
      <family val="0"/>
      <b val="1"/>
      <color rgb="FF000000"/>
      <sz val="12"/>
    </font>
    <font>
      <name val="Arial"/>
      <charset val="1"/>
      <family val="0"/>
      <b val="1"/>
      <color rgb="FF1F3B36"/>
      <sz val="13"/>
    </font>
    <font>
      <name val="Arial"/>
      <charset val="1"/>
      <family val="0"/>
      <b val="1"/>
      <color rgb="FFFFFFFF"/>
      <sz val="10"/>
    </font>
    <font>
      <name val="Arial"/>
      <charset val="1"/>
      <family val="0"/>
      <color rgb="FF000000"/>
      <sz val="10"/>
    </font>
    <font>
      <name val="Arial"/>
      <charset val="1"/>
      <family val="0"/>
      <b val="1"/>
      <color rgb="FF008000"/>
      <sz val="11"/>
    </font>
    <font>
      <name val="Arial"/>
      <charset val="1"/>
      <family val="0"/>
      <color rgb="FF808080"/>
      <sz val="9"/>
    </font>
    <font>
      <name val="Arial"/>
      <charset val="1"/>
      <family val="0"/>
      <color rgb="FF008000"/>
      <sz val="10"/>
    </font>
    <font>
      <name val="Arial"/>
      <charset val="1"/>
      <family val="0"/>
      <i val="1"/>
      <color rgb="FF808080"/>
      <sz val="9"/>
    </font>
    <font>
      <name val="Arial"/>
      <charset val="1"/>
      <family val="0"/>
      <b val="1"/>
      <color rgb="FF000000"/>
      <sz val="11"/>
    </font>
    <font>
      <name val="Arial"/>
      <charset val="1"/>
      <family val="0"/>
      <b val="1"/>
      <color rgb="FF008000"/>
      <sz val="13"/>
    </font>
    <font>
      <name val="Arial"/>
      <charset val="1"/>
      <family val="0"/>
      <b val="1"/>
      <color rgb="FF008000"/>
      <sz val="12"/>
    </font>
    <font>
      <name val="Arial"/>
      <charset val="1"/>
      <family val="0"/>
      <b val="1"/>
      <color rgb="FF000000"/>
      <sz val="9"/>
    </font>
    <font>
      <name val="Arial"/>
      <charset val="1"/>
      <family val="0"/>
      <b val="1"/>
      <color rgb="FF000000"/>
      <sz val="10"/>
    </font>
    <font>
      <name val="Arial"/>
      <charset val="1"/>
      <family val="0"/>
      <b val="1"/>
      <color rgb="FF008000"/>
      <sz val="10"/>
    </font>
    <font>
      <name val="Arial"/>
      <charset val="1"/>
      <family val="0"/>
      <b val="1"/>
      <sz val="10"/>
    </font>
    <font>
      <name val="Arial"/>
      <charset val="1"/>
      <family val="0"/>
      <sz val="10"/>
    </font>
    <font>
      <name val="Arial"/>
      <charset val="1"/>
      <family val="0"/>
      <color rgb="FF404040"/>
      <sz val="9"/>
    </font>
    <font>
      <name val="Arial"/>
      <charset val="1"/>
      <family val="0"/>
      <b val="1"/>
      <color rgb="FFA33A3A"/>
      <sz val="12"/>
    </font>
    <font>
      <name val="Arial"/>
      <charset val="1"/>
      <family val="0"/>
      <b val="1"/>
      <color rgb="FF1F3B36"/>
      <sz val="14"/>
    </font>
    <font>
      <name val="Arial"/>
      <charset val="1"/>
      <family val="0"/>
      <color rgb="FF0000FF"/>
      <sz val="10"/>
    </font>
    <font>
      <name val="Arial"/>
      <charset val="1"/>
      <family val="0"/>
      <b val="1"/>
      <sz val="9"/>
    </font>
    <font>
      <name val="Arial"/>
      <charset val="1"/>
      <family val="0"/>
      <color rgb="FF008000"/>
      <sz val="9"/>
    </font>
    <font>
      <name val="Arial"/>
      <charset val="1"/>
      <family val="0"/>
      <color rgb="FF000000"/>
      <sz val="9"/>
    </font>
    <font>
      <name val="Arial"/>
      <charset val="1"/>
      <family val="0"/>
      <b val="1"/>
      <color rgb="FF1F3B36"/>
      <sz val="12"/>
    </font>
    <font>
      <name val="Arial"/>
      <charset val="1"/>
      <family val="0"/>
      <b val="1"/>
      <sz val="11"/>
    </font>
    <font>
      <name val="Arial"/>
      <charset val="1"/>
      <family val="0"/>
      <b val="1"/>
      <color rgb="FFA33A3A"/>
      <sz val="11"/>
    </font>
    <font>
      <name val="Arial"/>
      <charset val="1"/>
      <family val="0"/>
      <color rgb="FF303030"/>
      <sz val="10"/>
    </font>
    <font>
      <name val="Arial"/>
      <charset val="1"/>
      <family val="0"/>
      <b val="1"/>
      <color rgb="FF303030"/>
      <sz val="10"/>
    </font>
    <font>
      <name val="Arial"/>
      <b val="1"/>
      <color rgb="001F3B36"/>
      <sz val="14"/>
    </font>
    <font>
      <name val="Arial"/>
      <color rgb="00808080"/>
      <sz val="9"/>
    </font>
    <font>
      <name val="Arial"/>
      <b val="1"/>
      <color rgb="00FFFFFF"/>
      <sz val="10"/>
    </font>
    <font>
      <name val="Arial"/>
      <sz val="10"/>
    </font>
    <font>
      <name val="Arial"/>
      <color rgb="000000FF"/>
      <sz val="10"/>
    </font>
    <font>
      <name val="Arial"/>
      <b val="1"/>
      <sz val="10"/>
    </font>
    <font>
      <name val="Arial"/>
      <b val="1"/>
      <color rgb="001F3B36"/>
      <sz val="10"/>
    </font>
    <font>
      <name val="Arial"/>
      <sz val="9"/>
    </font>
    <font>
      <name val="Arial"/>
      <color rgb="009C0006"/>
      <sz val="9"/>
    </font>
  </fonts>
  <fills count="12">
    <fill>
      <patternFill/>
    </fill>
    <fill>
      <patternFill patternType="gray125"/>
    </fill>
    <fill>
      <patternFill patternType="solid">
        <fgColor rgb="FFF2F2F2"/>
        <bgColor rgb="FFEEF4F1"/>
      </patternFill>
    </fill>
    <fill>
      <patternFill patternType="solid">
        <fgColor rgb="FF1F3B36"/>
        <bgColor rgb="FF303030"/>
      </patternFill>
    </fill>
    <fill>
      <patternFill patternType="solid">
        <fgColor rgb="FFEEF4F1"/>
        <bgColor rgb="FFF2F2F2"/>
      </patternFill>
    </fill>
    <fill>
      <patternFill patternType="solid">
        <fgColor rgb="FFE8EDEB"/>
        <bgColor rgb="FFDDEEE4"/>
      </patternFill>
    </fill>
    <fill>
      <patternFill patternType="solid">
        <fgColor rgb="FFD9E2E0"/>
        <bgColor rgb="FFDDEEE4"/>
      </patternFill>
    </fill>
    <fill>
      <patternFill patternType="solid">
        <fgColor rgb="FFFFF2A8"/>
        <bgColor rgb="FFFDEFC8"/>
      </patternFill>
    </fill>
    <fill>
      <patternFill patternType="solid">
        <fgColor rgb="FFFBE3D6"/>
        <bgColor rgb="FFFDEFC8"/>
      </patternFill>
    </fill>
    <fill>
      <patternFill patternType="solid">
        <fgColor rgb="001F3B36"/>
      </patternFill>
    </fill>
    <fill>
      <patternFill patternType="solid">
        <fgColor rgb="00FFF2A8"/>
      </patternFill>
    </fill>
    <fill>
      <patternFill patternType="solid">
        <fgColor rgb="00F2F2F2"/>
      </patternFill>
    </fill>
  </fills>
  <borders count="8">
    <border>
      <left/>
      <right/>
      <top/>
      <bottom/>
      <diagonal/>
    </border>
    <border>
      <left style="medium">
        <color rgb="FF1F3B36"/>
      </left>
      <right/>
      <top style="medium">
        <color rgb="FF1F3B36"/>
      </top>
      <bottom style="medium">
        <color rgb="FF1F3B36"/>
      </bottom>
      <diagonal/>
    </border>
    <border>
      <left/>
      <right style="medium">
        <color rgb="FF1F3B36"/>
      </right>
      <top style="medium">
        <color rgb="FF1F3B36"/>
      </top>
      <bottom style="medium">
        <color rgb="FF1F3B36"/>
      </bottom>
      <diagonal/>
    </border>
    <border>
      <left/>
      <right/>
      <top style="thin">
        <color rgb="FF1F3B36"/>
      </top>
      <bottom/>
      <diagonal/>
    </border>
    <border>
      <left style="thin">
        <color rgb="FFBFBFBF"/>
      </left>
      <right style="thin">
        <color rgb="FFBFBFBF"/>
      </right>
      <top style="thin">
        <color rgb="FFBFBFBF"/>
      </top>
      <bottom style="thin">
        <color rgb="FFBFBFBF"/>
      </bottom>
      <diagonal/>
    </border>
    <border>
      <left/>
      <right/>
      <top style="medium">
        <color rgb="FF1F3B36"/>
      </top>
      <bottom/>
      <diagonal/>
    </border>
    <border>
      <left/>
      <right style="medium">
        <color rgb="FF1F3B36"/>
      </right>
      <top style="medium">
        <color rgb="FF1F3B36"/>
      </top>
      <bottom/>
      <diagonal/>
    </border>
    <border>
      <left/>
      <right/>
      <top style="medium">
        <color rgb="FF1F3B36"/>
      </top>
      <bottom style="medium">
        <color rgb="FF1F3B3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2" borderId="2" applyAlignment="1" pivotButton="0" quotePrefix="0" xfId="0">
      <alignment horizontal="general" vertical="center"/>
    </xf>
    <xf numFmtId="0" fontId="8" fillId="3" borderId="0" applyAlignment="1" pivotButton="0" quotePrefix="0" xfId="0">
      <alignment horizontal="general" vertical="bottom"/>
    </xf>
    <xf numFmtId="0" fontId="0" fillId="3" borderId="0" applyAlignment="1" pivotButton="0" quotePrefix="0" xfId="0">
      <alignment horizontal="general" vertical="bottom"/>
    </xf>
    <xf numFmtId="0" fontId="9" fillId="0" borderId="0" applyAlignment="1" pivotButton="0" quotePrefix="0" xfId="0">
      <alignment horizontal="general" vertical="bottom"/>
    </xf>
    <xf numFmtId="164" fontId="10" fillId="0" borderId="0" applyAlignment="1" pivotButton="0" quotePrefix="0" xfId="0">
      <alignment horizontal="general" vertical="bottom"/>
    </xf>
    <xf numFmtId="0" fontId="11" fillId="0" borderId="0" applyAlignment="1" pivotButton="0" quotePrefix="0" xfId="0">
      <alignment horizontal="general" vertical="bottom"/>
    </xf>
    <xf numFmtId="165" fontId="12" fillId="0" borderId="0" applyAlignment="1" pivotButton="0" quotePrefix="0" xfId="0">
      <alignment horizontal="general" vertical="bottom"/>
    </xf>
    <xf numFmtId="0" fontId="13" fillId="0" borderId="0" applyAlignment="1" pivotButton="0" quotePrefix="0" xfId="0">
      <alignment horizontal="general" vertical="center"/>
    </xf>
    <xf numFmtId="165" fontId="10" fillId="0" borderId="0" applyAlignment="1" pivotButton="0" quotePrefix="0" xfId="0">
      <alignment horizontal="general" vertical="bottom"/>
    </xf>
    <xf numFmtId="166" fontId="12" fillId="0" borderId="0" applyAlignment="1" pivotButton="0" quotePrefix="0" xfId="0">
      <alignment horizontal="general" vertical="bottom"/>
    </xf>
    <xf numFmtId="0" fontId="14" fillId="0" borderId="0" applyAlignment="1" pivotButton="0" quotePrefix="0" xfId="0">
      <alignment horizontal="general" vertical="bottom"/>
    </xf>
    <xf numFmtId="164" fontId="15" fillId="4" borderId="0" applyAlignment="1" pivotButton="0" quotePrefix="0" xfId="0">
      <alignment horizontal="general" vertical="bottom"/>
    </xf>
    <xf numFmtId="166" fontId="16" fillId="0" borderId="0" applyAlignment="1" pivotButton="0" quotePrefix="0" xfId="0">
      <alignment horizontal="general" vertical="bottom"/>
    </xf>
    <xf numFmtId="167" fontId="16" fillId="0" borderId="0" applyAlignment="1" pivotButton="0" quotePrefix="0" xfId="0">
      <alignment horizontal="general" vertical="bottom"/>
    </xf>
    <xf numFmtId="168" fontId="10" fillId="0" borderId="0" applyAlignment="1" pivotButton="0" quotePrefix="0" xfId="0">
      <alignment horizontal="general" vertical="bottom"/>
    </xf>
    <xf numFmtId="169" fontId="10" fillId="0" borderId="0" applyAlignment="1" pivotButton="0" quotePrefix="0" xfId="0">
      <alignment horizontal="general" vertical="bottom"/>
    </xf>
    <xf numFmtId="169" fontId="12" fillId="0" borderId="0" applyAlignment="1" pivotButton="0" quotePrefix="0" xfId="0">
      <alignment horizontal="general" vertical="bottom"/>
    </xf>
    <xf numFmtId="0" fontId="17" fillId="0" borderId="0" applyAlignment="1" pivotButton="0" quotePrefix="0" xfId="0">
      <alignment horizontal="right" vertical="bottom"/>
    </xf>
    <xf numFmtId="0" fontId="17" fillId="0" borderId="0" applyAlignment="1" pivotButton="0" quotePrefix="0" xfId="0">
      <alignment horizontal="left" vertical="bottom"/>
    </xf>
    <xf numFmtId="0" fontId="18" fillId="0" borderId="0" applyAlignment="1" pivotButton="0" quotePrefix="0" xfId="0">
      <alignment horizontal="general" vertical="bottom"/>
    </xf>
    <xf numFmtId="165" fontId="19" fillId="0" borderId="0" applyAlignment="1" pivotButton="0" quotePrefix="0" xfId="0">
      <alignment horizontal="general" vertical="bottom"/>
    </xf>
    <xf numFmtId="169" fontId="20" fillId="0" borderId="0" applyAlignment="1" pivotButton="0" quotePrefix="0" xfId="0">
      <alignment horizontal="general" vertical="bottom"/>
    </xf>
    <xf numFmtId="169" fontId="21" fillId="0" borderId="0" applyAlignment="1" pivotButton="0" quotePrefix="0" xfId="0">
      <alignment horizontal="general" vertical="bottom"/>
    </xf>
    <xf numFmtId="0" fontId="18" fillId="5" borderId="3" applyAlignment="1" pivotButton="0" quotePrefix="0" xfId="0">
      <alignment horizontal="general" vertical="bottom"/>
    </xf>
    <xf numFmtId="165" fontId="19" fillId="5" borderId="3" applyAlignment="1" pivotButton="0" quotePrefix="0" xfId="0">
      <alignment horizontal="general" vertical="bottom"/>
    </xf>
    <xf numFmtId="169" fontId="20" fillId="5" borderId="3" applyAlignment="1" pivotButton="0" quotePrefix="0" xfId="0">
      <alignment horizontal="general" vertical="bottom"/>
    </xf>
    <xf numFmtId="0" fontId="17" fillId="6" borderId="0" applyAlignment="1" pivotButton="0" quotePrefix="0" xfId="0">
      <alignment horizontal="general" vertical="bottom"/>
    </xf>
    <xf numFmtId="0" fontId="17" fillId="6" borderId="0" applyAlignment="1" pivotButton="0" quotePrefix="0" xfId="0">
      <alignment horizontal="general" vertical="bottom"/>
    </xf>
    <xf numFmtId="0" fontId="20" fillId="0" borderId="4" applyAlignment="1" pivotButton="0" quotePrefix="0" xfId="0">
      <alignment horizontal="center" vertical="bottom"/>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169" fontId="19" fillId="0" borderId="0" applyAlignment="1" pivotButton="0" quotePrefix="0" xfId="0">
      <alignment horizontal="general" vertical="bottom"/>
    </xf>
    <xf numFmtId="0" fontId="13" fillId="0" borderId="0" applyAlignment="1" pivotButton="0" quotePrefix="0" xfId="0">
      <alignment horizontal="general" vertical="center"/>
    </xf>
    <xf numFmtId="166" fontId="19" fillId="0" borderId="0" applyAlignment="1" pivotButton="0" quotePrefix="0" xfId="0">
      <alignment horizontal="general" vertical="bottom"/>
    </xf>
    <xf numFmtId="0" fontId="19" fillId="0" borderId="0" applyAlignment="1" pivotButton="0" quotePrefix="0" xfId="0">
      <alignment horizontal="general" vertical="bottom"/>
    </xf>
    <xf numFmtId="164" fontId="19" fillId="0" borderId="0" applyAlignment="1" pivotButton="0" quotePrefix="0" xfId="0">
      <alignment horizontal="general" vertical="bottom"/>
    </xf>
    <xf numFmtId="0" fontId="24" fillId="0" borderId="0" applyAlignment="1" pivotButton="0" quotePrefix="0" xfId="0">
      <alignment horizontal="general" vertical="bottom"/>
    </xf>
    <xf numFmtId="166" fontId="25" fillId="7" borderId="4" applyAlignment="1" pivotButton="0" quotePrefix="0" xfId="0">
      <alignment horizontal="general" vertical="bottom"/>
    </xf>
    <xf numFmtId="165" fontId="25" fillId="7" borderId="4" applyAlignment="1" pivotButton="0" quotePrefix="0" xfId="0">
      <alignment horizontal="general" vertical="bottom"/>
    </xf>
    <xf numFmtId="169" fontId="25" fillId="7" borderId="4" applyAlignment="1" pivotButton="0" quotePrefix="0" xfId="0">
      <alignment horizontal="general" vertical="bottom"/>
    </xf>
    <xf numFmtId="0" fontId="25" fillId="7" borderId="4" applyAlignment="1" pivotButton="0" quotePrefix="0" xfId="0">
      <alignment horizontal="general" vertical="bottom"/>
    </xf>
    <xf numFmtId="164" fontId="25" fillId="7" borderId="4" applyAlignment="1" pivotButton="0" quotePrefix="0" xfId="0">
      <alignment horizontal="general" vertical="bottom"/>
    </xf>
    <xf numFmtId="4" fontId="25" fillId="7" borderId="4" applyAlignment="1" pivotButton="0" quotePrefix="0" xfId="0">
      <alignment horizontal="general" vertical="bottom"/>
    </xf>
    <xf numFmtId="165" fontId="9" fillId="0" borderId="0" applyAlignment="1" pivotButton="0" quotePrefix="0" xfId="0">
      <alignment horizontal="general" vertical="bottom"/>
    </xf>
    <xf numFmtId="165" fontId="18" fillId="0" borderId="0" applyAlignment="1" pivotButton="0" quotePrefix="0" xfId="0">
      <alignment horizontal="general" vertical="bottom"/>
    </xf>
    <xf numFmtId="164" fontId="9" fillId="0" borderId="0" applyAlignment="1" pivotButton="0" quotePrefix="0" xfId="0">
      <alignment horizontal="general" vertical="bottom"/>
    </xf>
    <xf numFmtId="169" fontId="9" fillId="0" borderId="0" applyAlignment="1" pivotButton="0" quotePrefix="0" xfId="0">
      <alignment horizontal="general" vertical="bottom"/>
    </xf>
    <xf numFmtId="164" fontId="18" fillId="0" borderId="0" applyAlignment="1" pivotButton="0" quotePrefix="0" xfId="0">
      <alignment horizontal="general" vertical="bottom"/>
    </xf>
    <xf numFmtId="169" fontId="18" fillId="0" borderId="0" applyAlignment="1" pivotButton="0" quotePrefix="0" xfId="0">
      <alignment horizontal="general" vertical="bottom"/>
    </xf>
    <xf numFmtId="166" fontId="9" fillId="0" borderId="0" applyAlignment="1" pivotButton="0" quotePrefix="0" xfId="0">
      <alignment horizontal="general" vertical="bottom"/>
    </xf>
    <xf numFmtId="167" fontId="9" fillId="0" borderId="0" applyAlignment="1" pivotButton="0" quotePrefix="0" xfId="0">
      <alignment horizontal="general" vertical="bottom"/>
    </xf>
    <xf numFmtId="168" fontId="9" fillId="0" borderId="0" applyAlignment="1" pivotButton="0" quotePrefix="0" xfId="0">
      <alignment horizontal="general" vertical="bottom"/>
    </xf>
    <xf numFmtId="168" fontId="18" fillId="0" borderId="0" applyAlignment="1" pivotButton="0" quotePrefix="0" xfId="0">
      <alignment horizontal="general" vertical="bottom"/>
    </xf>
    <xf numFmtId="0" fontId="17" fillId="0" borderId="0" applyAlignment="1" pivotButton="0" quotePrefix="0" xfId="0">
      <alignment horizontal="general" vertical="bottom"/>
    </xf>
    <xf numFmtId="0" fontId="26" fillId="6" borderId="0" applyAlignment="1" pivotButton="0" quotePrefix="0" xfId="0">
      <alignment horizontal="center" vertical="bottom" wrapText="1"/>
    </xf>
    <xf numFmtId="165" fontId="27" fillId="0" borderId="0" applyAlignment="1" pivotButton="0" quotePrefix="0" xfId="0">
      <alignment horizontal="center" vertical="bottom"/>
    </xf>
    <xf numFmtId="165" fontId="28" fillId="0" borderId="0" applyAlignment="1" pivotButton="0" quotePrefix="0" xfId="0">
      <alignment horizontal="center" vertical="bottom"/>
    </xf>
    <xf numFmtId="170" fontId="20" fillId="5" borderId="0" applyAlignment="1" pivotButton="0" quotePrefix="0" xfId="0">
      <alignment horizontal="center" vertical="bottom"/>
    </xf>
    <xf numFmtId="169" fontId="21" fillId="0" borderId="4" applyAlignment="1" pivotButton="0" quotePrefix="0" xfId="0">
      <alignment horizontal="center" vertical="bottom"/>
    </xf>
    <xf numFmtId="170" fontId="26" fillId="6" borderId="0" applyAlignment="1" pivotButton="0" quotePrefix="0" xfId="0">
      <alignment horizontal="center" vertical="bottom"/>
    </xf>
    <xf numFmtId="0" fontId="29" fillId="0" borderId="0" applyAlignment="1" pivotButton="0" quotePrefix="0" xfId="0">
      <alignment horizontal="general" vertical="bottom"/>
    </xf>
    <xf numFmtId="0" fontId="26" fillId="6" borderId="4" applyAlignment="1" pivotButton="0" quotePrefix="0" xfId="0">
      <alignment horizontal="general" vertical="center" wrapText="1"/>
    </xf>
    <xf numFmtId="0" fontId="21" fillId="0" borderId="4" applyAlignment="1" pivotButton="0" quotePrefix="0" xfId="0">
      <alignment horizontal="general" vertical="bottom"/>
    </xf>
    <xf numFmtId="0" fontId="11" fillId="0" borderId="4" applyAlignment="1" pivotButton="0" quotePrefix="0" xfId="0">
      <alignment horizontal="general" vertical="bottom"/>
    </xf>
    <xf numFmtId="165" fontId="21" fillId="0" borderId="4" applyAlignment="1" pivotButton="0" quotePrefix="0" xfId="0">
      <alignment horizontal="general" vertical="bottom"/>
    </xf>
    <xf numFmtId="169" fontId="21" fillId="0" borderId="4" applyAlignment="1" pivotButton="0" quotePrefix="0" xfId="0">
      <alignment horizontal="general" vertical="bottom"/>
    </xf>
    <xf numFmtId="0" fontId="13" fillId="0" borderId="4" applyAlignment="1" pivotButton="0" quotePrefix="0" xfId="0">
      <alignment horizontal="general" vertical="bottom"/>
    </xf>
    <xf numFmtId="0" fontId="21" fillId="8" borderId="4" applyAlignment="1" pivotButton="0" quotePrefix="0" xfId="0">
      <alignment horizontal="general" vertical="bottom"/>
    </xf>
    <xf numFmtId="0" fontId="11" fillId="8" borderId="4" applyAlignment="1" pivotButton="0" quotePrefix="0" xfId="0">
      <alignment horizontal="general" vertical="bottom"/>
    </xf>
    <xf numFmtId="165" fontId="21" fillId="8" borderId="4" applyAlignment="1" pivotButton="0" quotePrefix="0" xfId="0">
      <alignment horizontal="general" vertical="bottom"/>
    </xf>
    <xf numFmtId="169" fontId="21" fillId="8" borderId="4" applyAlignment="1" pivotButton="0" quotePrefix="0" xfId="0">
      <alignment horizontal="general" vertical="bottom"/>
    </xf>
    <xf numFmtId="0" fontId="13" fillId="8" borderId="4" applyAlignment="1" pivotButton="0" quotePrefix="0" xfId="0">
      <alignment horizontal="general" vertical="bottom"/>
    </xf>
    <xf numFmtId="0" fontId="20" fillId="0" borderId="0" applyAlignment="1" pivotButton="0" quotePrefix="0" xfId="0">
      <alignment horizontal="general" vertical="bottom"/>
    </xf>
    <xf numFmtId="165" fontId="30" fillId="0" borderId="0" applyAlignment="1" pivotButton="0" quotePrefix="0" xfId="0">
      <alignment horizontal="general" vertical="bottom"/>
    </xf>
    <xf numFmtId="166" fontId="31" fillId="0" borderId="0" applyAlignment="1" pivotButton="0" quotePrefix="0" xfId="0">
      <alignment horizontal="general" vertical="bottom"/>
    </xf>
    <xf numFmtId="0" fontId="20" fillId="0" borderId="4" applyAlignment="1" pivotButton="0" quotePrefix="0" xfId="0">
      <alignment horizontal="general" vertical="bottom"/>
    </xf>
    <xf numFmtId="166" fontId="21" fillId="0" borderId="4" applyAlignment="1" pivotButton="0" quotePrefix="0" xfId="0">
      <alignment horizontal="general" vertical="bottom"/>
    </xf>
    <xf numFmtId="0" fontId="20" fillId="8" borderId="4" applyAlignment="1" pivotButton="0" quotePrefix="0" xfId="0">
      <alignment horizontal="general" vertical="bottom"/>
    </xf>
    <xf numFmtId="0" fontId="32" fillId="0" borderId="0" applyAlignment="1" pivotButton="0" quotePrefix="0" xfId="0">
      <alignment horizontal="general" vertical="top" wrapText="1"/>
    </xf>
    <xf numFmtId="0" fontId="33"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2" borderId="2" applyAlignment="1" pivotButton="0" quotePrefix="0" xfId="0">
      <alignment horizontal="general" vertical="center"/>
    </xf>
    <xf numFmtId="0" fontId="0" fillId="0" borderId="7" pivotButton="0" quotePrefix="0" xfId="0"/>
    <xf numFmtId="0" fontId="0" fillId="0" borderId="2" pivotButton="0" quotePrefix="0" xfId="0"/>
    <xf numFmtId="0" fontId="8" fillId="3" borderId="0" applyAlignment="1" pivotButton="0" quotePrefix="0" xfId="0">
      <alignment horizontal="general" vertical="bottom"/>
    </xf>
    <xf numFmtId="0" fontId="0" fillId="3" borderId="0" applyAlignment="1" pivotButton="0" quotePrefix="0" xfId="0">
      <alignment horizontal="general" vertical="bottom"/>
    </xf>
    <xf numFmtId="0" fontId="9" fillId="0" borderId="0" applyAlignment="1" pivotButton="0" quotePrefix="0" xfId="0">
      <alignment horizontal="general" vertical="bottom"/>
    </xf>
    <xf numFmtId="164" fontId="10" fillId="0" borderId="0" applyAlignment="1" pivotButton="0" quotePrefix="0" xfId="0">
      <alignment horizontal="general" vertical="bottom"/>
    </xf>
    <xf numFmtId="0" fontId="11" fillId="0" borderId="0" applyAlignment="1" pivotButton="0" quotePrefix="0" xfId="0">
      <alignment horizontal="general" vertical="bottom"/>
    </xf>
    <xf numFmtId="165" fontId="12" fillId="0" borderId="0" applyAlignment="1" pivotButton="0" quotePrefix="0" xfId="0">
      <alignment horizontal="general" vertical="bottom"/>
    </xf>
    <xf numFmtId="0" fontId="13" fillId="0" borderId="0" applyAlignment="1" pivotButton="0" quotePrefix="0" xfId="0">
      <alignment horizontal="general" vertical="center"/>
    </xf>
    <xf numFmtId="165" fontId="10" fillId="0" borderId="0" applyAlignment="1" pivotButton="0" quotePrefix="0" xfId="0">
      <alignment horizontal="general" vertical="bottom"/>
    </xf>
    <xf numFmtId="166" fontId="12" fillId="0" borderId="0" applyAlignment="1" pivotButton="0" quotePrefix="0" xfId="0">
      <alignment horizontal="general" vertical="bottom"/>
    </xf>
    <xf numFmtId="0" fontId="14" fillId="0" borderId="0" applyAlignment="1" pivotButton="0" quotePrefix="0" xfId="0">
      <alignment horizontal="general" vertical="bottom"/>
    </xf>
    <xf numFmtId="164" fontId="15" fillId="4" borderId="0" applyAlignment="1" pivotButton="0" quotePrefix="0" xfId="0">
      <alignment horizontal="general" vertical="bottom"/>
    </xf>
    <xf numFmtId="166" fontId="16" fillId="0" borderId="0" applyAlignment="1" pivotButton="0" quotePrefix="0" xfId="0">
      <alignment horizontal="general" vertical="bottom"/>
    </xf>
    <xf numFmtId="167" fontId="16" fillId="0" borderId="0" applyAlignment="1" pivotButton="0" quotePrefix="0" xfId="0">
      <alignment horizontal="general" vertical="bottom"/>
    </xf>
    <xf numFmtId="168" fontId="10" fillId="0" borderId="0" applyAlignment="1" pivotButton="0" quotePrefix="0" xfId="0">
      <alignment horizontal="general" vertical="bottom"/>
    </xf>
    <xf numFmtId="169" fontId="10" fillId="0" borderId="0" applyAlignment="1" pivotButton="0" quotePrefix="0" xfId="0">
      <alignment horizontal="general" vertical="bottom"/>
    </xf>
    <xf numFmtId="169" fontId="12" fillId="0" borderId="0" applyAlignment="1" pivotButton="0" quotePrefix="0" xfId="0">
      <alignment horizontal="general" vertical="bottom"/>
    </xf>
    <xf numFmtId="0" fontId="17" fillId="0" borderId="0" applyAlignment="1" pivotButton="0" quotePrefix="0" xfId="0">
      <alignment horizontal="right" vertical="bottom"/>
    </xf>
    <xf numFmtId="0" fontId="17" fillId="0" borderId="0" applyAlignment="1" pivotButton="0" quotePrefix="0" xfId="0">
      <alignment horizontal="left" vertical="bottom"/>
    </xf>
    <xf numFmtId="0" fontId="18" fillId="0" borderId="0" applyAlignment="1" pivotButton="0" quotePrefix="0" xfId="0">
      <alignment horizontal="general" vertical="bottom"/>
    </xf>
    <xf numFmtId="165" fontId="19" fillId="0" borderId="0" applyAlignment="1" pivotButton="0" quotePrefix="0" xfId="0">
      <alignment horizontal="general" vertical="bottom"/>
    </xf>
    <xf numFmtId="169" fontId="20" fillId="0" borderId="0" applyAlignment="1" pivotButton="0" quotePrefix="0" xfId="0">
      <alignment horizontal="general" vertical="bottom"/>
    </xf>
    <xf numFmtId="169" fontId="21" fillId="0" borderId="0" applyAlignment="1" pivotButton="0" quotePrefix="0" xfId="0">
      <alignment horizontal="general" vertical="bottom"/>
    </xf>
    <xf numFmtId="0" fontId="18" fillId="5" borderId="3" applyAlignment="1" pivotButton="0" quotePrefix="0" xfId="0">
      <alignment horizontal="general" vertical="bottom"/>
    </xf>
    <xf numFmtId="165" fontId="19" fillId="5" borderId="3" applyAlignment="1" pivotButton="0" quotePrefix="0" xfId="0">
      <alignment horizontal="general" vertical="bottom"/>
    </xf>
    <xf numFmtId="169" fontId="20" fillId="5" borderId="3" applyAlignment="1" pivotButton="0" quotePrefix="0" xfId="0">
      <alignment horizontal="general" vertical="bottom"/>
    </xf>
    <xf numFmtId="0" fontId="17" fillId="6" borderId="0" applyAlignment="1" pivotButton="0" quotePrefix="0" xfId="0">
      <alignment horizontal="general" vertical="bottom"/>
    </xf>
    <xf numFmtId="0" fontId="20" fillId="0" borderId="4" applyAlignment="1" pivotButton="0" quotePrefix="0" xfId="0">
      <alignment horizontal="center" vertical="bottom"/>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169" fontId="19" fillId="0" borderId="0" applyAlignment="1" pivotButton="0" quotePrefix="0" xfId="0">
      <alignment horizontal="general" vertical="bottom"/>
    </xf>
    <xf numFmtId="166" fontId="19" fillId="0" borderId="0" applyAlignment="1" pivotButton="0" quotePrefix="0" xfId="0">
      <alignment horizontal="general" vertical="bottom"/>
    </xf>
    <xf numFmtId="0" fontId="19" fillId="0" borderId="0" applyAlignment="1" pivotButton="0" quotePrefix="0" xfId="0">
      <alignment horizontal="general" vertical="bottom"/>
    </xf>
    <xf numFmtId="164" fontId="19" fillId="0" borderId="0" applyAlignment="1" pivotButton="0" quotePrefix="0" xfId="0">
      <alignment horizontal="general" vertical="bottom"/>
    </xf>
    <xf numFmtId="0" fontId="24" fillId="0" borderId="0" applyAlignment="1" pivotButton="0" quotePrefix="0" xfId="0">
      <alignment horizontal="general" vertical="bottom"/>
    </xf>
    <xf numFmtId="166" fontId="25" fillId="7" borderId="4" applyAlignment="1" pivotButton="0" quotePrefix="0" xfId="0">
      <alignment horizontal="general" vertical="bottom"/>
    </xf>
    <xf numFmtId="165" fontId="25" fillId="7" borderId="4" applyAlignment="1" pivotButton="0" quotePrefix="0" xfId="0">
      <alignment horizontal="general" vertical="bottom"/>
    </xf>
    <xf numFmtId="169" fontId="25" fillId="7" borderId="4" applyAlignment="1" pivotButton="0" quotePrefix="0" xfId="0">
      <alignment horizontal="general" vertical="bottom"/>
    </xf>
    <xf numFmtId="0" fontId="25" fillId="7" borderId="4" applyAlignment="1" pivotButton="0" quotePrefix="0" xfId="0">
      <alignment horizontal="general" vertical="bottom"/>
    </xf>
    <xf numFmtId="164" fontId="25" fillId="7" borderId="4" applyAlignment="1" pivotButton="0" quotePrefix="0" xfId="0">
      <alignment horizontal="general" vertical="bottom"/>
    </xf>
    <xf numFmtId="4" fontId="25" fillId="7" borderId="4" applyAlignment="1" pivotButton="0" quotePrefix="0" xfId="0">
      <alignment horizontal="general" vertical="bottom"/>
    </xf>
    <xf numFmtId="165" fontId="9" fillId="0" borderId="0" applyAlignment="1" pivotButton="0" quotePrefix="0" xfId="0">
      <alignment horizontal="general" vertical="bottom"/>
    </xf>
    <xf numFmtId="165" fontId="18" fillId="0" borderId="0" applyAlignment="1" pivotButton="0" quotePrefix="0" xfId="0">
      <alignment horizontal="general" vertical="bottom"/>
    </xf>
    <xf numFmtId="164" fontId="9" fillId="0" borderId="0" applyAlignment="1" pivotButton="0" quotePrefix="0" xfId="0">
      <alignment horizontal="general" vertical="bottom"/>
    </xf>
    <xf numFmtId="169" fontId="9" fillId="0" borderId="0" applyAlignment="1" pivotButton="0" quotePrefix="0" xfId="0">
      <alignment horizontal="general" vertical="bottom"/>
    </xf>
    <xf numFmtId="164" fontId="18" fillId="0" borderId="0" applyAlignment="1" pivotButton="0" quotePrefix="0" xfId="0">
      <alignment horizontal="general" vertical="bottom"/>
    </xf>
    <xf numFmtId="169" fontId="18" fillId="0" borderId="0" applyAlignment="1" pivotButton="0" quotePrefix="0" xfId="0">
      <alignment horizontal="general" vertical="bottom"/>
    </xf>
    <xf numFmtId="166" fontId="9" fillId="0" borderId="0" applyAlignment="1" pivotButton="0" quotePrefix="0" xfId="0">
      <alignment horizontal="general" vertical="bottom"/>
    </xf>
    <xf numFmtId="167" fontId="9" fillId="0" borderId="0" applyAlignment="1" pivotButton="0" quotePrefix="0" xfId="0">
      <alignment horizontal="general" vertical="bottom"/>
    </xf>
    <xf numFmtId="168" fontId="9" fillId="0" borderId="0" applyAlignment="1" pivotButton="0" quotePrefix="0" xfId="0">
      <alignment horizontal="general" vertical="bottom"/>
    </xf>
    <xf numFmtId="168" fontId="18" fillId="0" borderId="0" applyAlignment="1" pivotButton="0" quotePrefix="0" xfId="0">
      <alignment horizontal="general" vertical="bottom"/>
    </xf>
    <xf numFmtId="0" fontId="17" fillId="0" borderId="0" applyAlignment="1" pivotButton="0" quotePrefix="0" xfId="0">
      <alignment horizontal="general" vertical="bottom"/>
    </xf>
    <xf numFmtId="0" fontId="26" fillId="6" borderId="0" applyAlignment="1" pivotButton="0" quotePrefix="0" xfId="0">
      <alignment horizontal="center" vertical="bottom" wrapText="1"/>
    </xf>
    <xf numFmtId="165" fontId="27" fillId="0" borderId="0" applyAlignment="1" pivotButton="0" quotePrefix="0" xfId="0">
      <alignment horizontal="center" vertical="bottom"/>
    </xf>
    <xf numFmtId="165" fontId="28" fillId="0" borderId="0" applyAlignment="1" pivotButton="0" quotePrefix="0" xfId="0">
      <alignment horizontal="center" vertical="bottom"/>
    </xf>
    <xf numFmtId="170" fontId="20" fillId="5" borderId="0" applyAlignment="1" pivotButton="0" quotePrefix="0" xfId="0">
      <alignment horizontal="center" vertical="bottom"/>
    </xf>
    <xf numFmtId="169" fontId="21" fillId="0" borderId="4" applyAlignment="1" pivotButton="0" quotePrefix="0" xfId="0">
      <alignment horizontal="center" vertical="bottom"/>
    </xf>
    <xf numFmtId="170" fontId="26" fillId="6" borderId="0" applyAlignment="1" pivotButton="0" quotePrefix="0" xfId="0">
      <alignment horizontal="center" vertical="bottom"/>
    </xf>
    <xf numFmtId="0" fontId="34" fillId="0" borderId="0" pivotButton="0" quotePrefix="0" xfId="0"/>
    <xf numFmtId="0" fontId="35" fillId="0" borderId="0" applyAlignment="1" pivotButton="0" quotePrefix="0" xfId="0">
      <alignment wrapText="1"/>
    </xf>
    <xf numFmtId="0" fontId="36" fillId="9" borderId="0" pivotButton="0" quotePrefix="0" xfId="0"/>
    <xf numFmtId="0" fontId="36" fillId="9" borderId="0" applyAlignment="1" pivotButton="0" quotePrefix="0" xfId="0">
      <alignment horizontal="center" vertical="center" wrapText="1"/>
    </xf>
    <xf numFmtId="0" fontId="37" fillId="0" borderId="0" pivotButton="0" quotePrefix="0" xfId="0"/>
    <xf numFmtId="171" fontId="38" fillId="10" borderId="0" applyAlignment="1" pivotButton="0" quotePrefix="0" xfId="0">
      <alignment horizontal="center"/>
    </xf>
    <xf numFmtId="0" fontId="35" fillId="0" borderId="0" applyAlignment="1" pivotButton="0" quotePrefix="0" xfId="0">
      <alignment vertical="center" wrapText="1"/>
    </xf>
    <xf numFmtId="172" fontId="38" fillId="10" borderId="0" applyAlignment="1" pivotButton="0" quotePrefix="0" xfId="0">
      <alignment horizontal="center"/>
    </xf>
    <xf numFmtId="173" fontId="38" fillId="10" borderId="0" applyAlignment="1" pivotButton="0" quotePrefix="0" xfId="0">
      <alignment horizontal="center"/>
    </xf>
    <xf numFmtId="0" fontId="35" fillId="0" borderId="0" pivotButton="0" quotePrefix="0" xfId="0"/>
    <xf numFmtId="173" fontId="37" fillId="0" borderId="0" pivotButton="0" quotePrefix="0" xfId="0"/>
    <xf numFmtId="174" fontId="37" fillId="0" borderId="0" pivotButton="0" quotePrefix="0" xfId="0"/>
    <xf numFmtId="0" fontId="39" fillId="0" borderId="0" pivotButton="0" quotePrefix="0" xfId="0"/>
    <xf numFmtId="172" fontId="39" fillId="0" borderId="0" pivotButton="0" quotePrefix="0" xfId="0"/>
    <xf numFmtId="175" fontId="37" fillId="0" borderId="0" pivotButton="0" quotePrefix="0" xfId="0"/>
    <xf numFmtId="176" fontId="37" fillId="0" borderId="0" pivotButton="0" quotePrefix="0" xfId="0"/>
    <xf numFmtId="174" fontId="39" fillId="0" borderId="0" pivotButton="0" quotePrefix="0" xfId="0"/>
    <xf numFmtId="0" fontId="39" fillId="11" borderId="0" pivotButton="0" quotePrefix="0" xfId="0"/>
    <xf numFmtId="0" fontId="39" fillId="11" borderId="0" applyAlignment="1" pivotButton="0" quotePrefix="0" xfId="0">
      <alignment horizontal="center"/>
    </xf>
    <xf numFmtId="0" fontId="35" fillId="11" borderId="0" pivotButton="0" quotePrefix="0" xfId="0"/>
    <xf numFmtId="0" fontId="40" fillId="0" borderId="0" pivotButton="0" quotePrefix="0" xfId="0"/>
    <xf numFmtId="0" fontId="41" fillId="0" borderId="0" applyAlignment="1" pivotButton="0" quotePrefix="0" xfId="0">
      <alignment vertical="top" wrapText="1"/>
    </xf>
    <xf numFmtId="0" fontId="42" fillId="0" borderId="0" pivotButton="0" quotePrefix="0" xfId="0"/>
    <xf numFmtId="0" fontId="29" fillId="0" borderId="0" applyAlignment="1" pivotButton="0" quotePrefix="0" xfId="0">
      <alignment horizontal="general" vertical="bottom"/>
    </xf>
    <xf numFmtId="0" fontId="26" fillId="6" borderId="4" applyAlignment="1" pivotButton="0" quotePrefix="0" xfId="0">
      <alignment horizontal="general" vertical="center" wrapText="1"/>
    </xf>
    <xf numFmtId="0" fontId="21" fillId="0" borderId="4" applyAlignment="1" pivotButton="0" quotePrefix="0" xfId="0">
      <alignment horizontal="general" vertical="bottom"/>
    </xf>
    <xf numFmtId="0" fontId="11" fillId="0" borderId="4" applyAlignment="1" pivotButton="0" quotePrefix="0" xfId="0">
      <alignment horizontal="general" vertical="bottom"/>
    </xf>
    <xf numFmtId="165" fontId="21" fillId="0" borderId="4" applyAlignment="1" pivotButton="0" quotePrefix="0" xfId="0">
      <alignment horizontal="general" vertical="bottom"/>
    </xf>
    <xf numFmtId="169" fontId="21" fillId="0" borderId="4" applyAlignment="1" pivotButton="0" quotePrefix="0" xfId="0">
      <alignment horizontal="general" vertical="bottom"/>
    </xf>
    <xf numFmtId="0" fontId="13" fillId="0" borderId="4" applyAlignment="1" pivotButton="0" quotePrefix="0" xfId="0">
      <alignment horizontal="general" vertical="bottom"/>
    </xf>
    <xf numFmtId="0" fontId="21" fillId="8" borderId="4" applyAlignment="1" pivotButton="0" quotePrefix="0" xfId="0">
      <alignment horizontal="general" vertical="bottom"/>
    </xf>
    <xf numFmtId="0" fontId="11" fillId="8" borderId="4" applyAlignment="1" pivotButton="0" quotePrefix="0" xfId="0">
      <alignment horizontal="general" vertical="bottom"/>
    </xf>
    <xf numFmtId="165" fontId="21" fillId="8" borderId="4" applyAlignment="1" pivotButton="0" quotePrefix="0" xfId="0">
      <alignment horizontal="general" vertical="bottom"/>
    </xf>
    <xf numFmtId="169" fontId="21" fillId="8" borderId="4" applyAlignment="1" pivotButton="0" quotePrefix="0" xfId="0">
      <alignment horizontal="general" vertical="bottom"/>
    </xf>
    <xf numFmtId="0" fontId="13" fillId="8" borderId="4" applyAlignment="1" pivotButton="0" quotePrefix="0" xfId="0">
      <alignment horizontal="general" vertical="bottom"/>
    </xf>
    <xf numFmtId="0" fontId="20" fillId="0" borderId="0" applyAlignment="1" pivotButton="0" quotePrefix="0" xfId="0">
      <alignment horizontal="general" vertical="bottom"/>
    </xf>
    <xf numFmtId="165" fontId="30" fillId="0" borderId="0" applyAlignment="1" pivotButton="0" quotePrefix="0" xfId="0">
      <alignment horizontal="general" vertical="bottom"/>
    </xf>
    <xf numFmtId="166" fontId="31" fillId="0" borderId="0" applyAlignment="1" pivotButton="0" quotePrefix="0" xfId="0">
      <alignment horizontal="general" vertical="bottom"/>
    </xf>
    <xf numFmtId="0" fontId="20" fillId="0" borderId="4" applyAlignment="1" pivotButton="0" quotePrefix="0" xfId="0">
      <alignment horizontal="general" vertical="bottom"/>
    </xf>
    <xf numFmtId="166" fontId="21" fillId="0" borderId="4" applyAlignment="1" pivotButton="0" quotePrefix="0" xfId="0">
      <alignment horizontal="general" vertical="bottom"/>
    </xf>
    <xf numFmtId="0" fontId="20" fillId="8" borderId="4" applyAlignment="1" pivotButton="0" quotePrefix="0" xfId="0">
      <alignment horizontal="general" vertical="bottom"/>
    </xf>
    <xf numFmtId="0" fontId="32" fillId="0" borderId="0" applyAlignment="1" pivotButton="0" quotePrefix="0" xfId="0">
      <alignment horizontal="general" vertical="top" wrapText="1"/>
    </xf>
    <xf numFmtId="0" fontId="33"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F8CFCF"/>
        </patternFill>
      </fill>
    </dxf>
    <dxf>
      <fill>
        <patternFill>
          <bgColor rgb="FFFDEFC8"/>
        </patternFill>
      </fill>
    </dxf>
    <dxf>
      <fill>
        <patternFill>
          <bgColor rgb="FFDDEEE4"/>
        </patternFill>
      </fill>
    </dxf>
    <dxf>
      <font>
        <b val="1"/>
        <color rgb="00006100"/>
      </font>
      <fill>
        <patternFill patternType="solid">
          <fgColor rgb="00C6EFCE"/>
        </patternFill>
      </fill>
    </dxf>
    <dxf>
      <font>
        <b val="1"/>
        <color rgb="009C0006"/>
      </font>
      <fill>
        <patternFill patternType="solid">
          <fgColor rgb="00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33A3A"/>
      <rgbColor rgb="FFFDEFC8"/>
      <rgbColor rgb="FFEEF4F1"/>
      <rgbColor rgb="FF660066"/>
      <rgbColor rgb="FFC96F4A"/>
      <rgbColor rgb="FF0066CC"/>
      <rgbColor rgb="FFD9E2E0"/>
      <rgbColor rgb="FF000080"/>
      <rgbColor rgb="FFFF00FF"/>
      <rgbColor rgb="FFFFFF00"/>
      <rgbColor rgb="FF00FFFF"/>
      <rgbColor rgb="FF800080"/>
      <rgbColor rgb="FF800000"/>
      <rgbColor rgb="FF008080"/>
      <rgbColor rgb="FF0000FF"/>
      <rgbColor rgb="FF00CCFF"/>
      <rgbColor rgb="FFE8EDEB"/>
      <rgbColor rgb="FFDDEEE4"/>
      <rgbColor rgb="FFFFF2A8"/>
      <rgbColor rgb="FFF2F2F2"/>
      <rgbColor rgb="FFFBE3D6"/>
      <rgbColor rgb="FFCC99FF"/>
      <rgbColor rgb="FFF8CFCF"/>
      <rgbColor rgb="FF3366FF"/>
      <rgbColor rgb="FF33CCCC"/>
      <rgbColor rgb="FF99CC00"/>
      <rgbColor rgb="FFFFC000"/>
      <rgbColor rgb="FFFF9900"/>
      <rgbColor rgb="FFFF6600"/>
      <rgbColor rgb="FF666699"/>
      <rgbColor rgb="FF8FA89B"/>
      <rgbColor rgb="FF003366"/>
      <rgbColor rgb="FF339966"/>
      <rgbColor rgb="FF003300"/>
      <rgbColor rgb="FF1F3B36"/>
      <rgbColor rgb="FF993300"/>
      <rgbColor rgb="FF993366"/>
      <rgbColor rgb="FF404040"/>
      <rgbColor rgb="FF30303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B36"/>
    <outlinePr summaryBelow="1" summaryRight="1"/>
    <pageSetUpPr fitToPage="1"/>
  </sheetPr>
  <dimension ref="B2:H59"/>
  <sheetViews>
    <sheetView showFormulas="0" showGridLines="0" showRowColHeaders="1" showZeros="1" rightToLeft="0" tabSelected="1"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 customWidth="1" style="84" min="1" max="1"/>
    <col width="48" customWidth="1" style="84" min="2" max="2"/>
    <col width="20" customWidth="1" style="84" min="3" max="3"/>
    <col width="22" customWidth="1" style="84" min="4" max="4"/>
    <col width="17" customWidth="1" style="84" min="5" max="5"/>
    <col width="13" customWidth="1" style="84" min="6" max="6"/>
    <col width="24" customWidth="1" style="84" min="7" max="8"/>
  </cols>
  <sheetData>
    <row r="2" ht="19.7" customHeight="1" s="85">
      <c r="B2" s="86" t="inlineStr">
        <is>
          <t>ACOLHE  —  one tender, one answer</t>
        </is>
      </c>
    </row>
    <row r="3" ht="15" customHeight="1" s="85">
      <c r="B3" s="87">
        <f>INPUTS!$C$8&amp;"  ·  "&amp;TEXT(INPUTS!$C$5,"#,##0")&amp;" kits  ·  bid "&amp;TEXT(INPUTS!$C$7,"0%")&amp;" of R$"&amp;TEXT(INPUTS!$C$6,"#,##0.00")&amp;"  ·  "&amp;INPUTS!$C$9&amp;"  ·  supplier discount "&amp;TEXT(INPUTS!$C$13,"0%")&amp;"  ·  paid day "&amp;TEXT(INPUTS!$C$10,"0")</f>
        <v/>
      </c>
    </row>
    <row r="5" ht="33.75" customHeight="1" s="85">
      <c r="B5" s="88" t="inlineStr">
        <is>
          <t>VERDICT</t>
        </is>
      </c>
      <c r="C5" s="89">
        <f>IF(DEAL!$C$12="","NO BID  —  a cost leg is unknown, so there is no number to judge",IF(DEAL!$C$25&lt;0,"NO  —  this lot loses money at your bid",IF(DEAL!$C$25&lt;INPUTS!$C$29,"THIN  —  net "&amp;TEXT(DEAL!$C$25,"0.0%")&amp;" against a "&amp;TEXT(INPUTS!$C$29,"0%")&amp;" target.  "&amp;TEXT($C$43,"0")&amp;" of 9 checks not passed.",IF($C$43&gt;0,"PENCILS  —  but "&amp;TEXT($C$43,"0")&amp;" check(s) not passed. Read them before you bid.","PENCILS  —  all 9 checks pass"))))</f>
        <v/>
      </c>
      <c r="D5" s="90" t="n"/>
      <c r="E5" s="90" t="n"/>
      <c r="F5" s="90" t="n"/>
      <c r="G5" s="90" t="n"/>
      <c r="H5" s="91" t="n"/>
    </row>
    <row r="7" ht="15" customHeight="1" s="85">
      <c r="B7" s="92" t="inlineStr">
        <is>
          <t>WHAT YOU MAKE</t>
        </is>
      </c>
      <c r="C7" s="93" t="n"/>
      <c r="D7" s="93" t="n"/>
      <c r="E7" s="93" t="n"/>
      <c r="F7" s="93" t="n"/>
      <c r="G7" s="93" t="n"/>
      <c r="H7" s="93" t="n"/>
    </row>
    <row r="8" ht="15" customHeight="1" s="85">
      <c r="B8" s="94" t="inlineStr">
        <is>
          <t>On this one lot, after tax and fees</t>
        </is>
      </c>
      <c r="C8" s="95">
        <f>DEAL!$C$24</f>
        <v/>
      </c>
      <c r="D8" s="96" t="inlineStr">
        <is>
          <t>per kit</t>
        </is>
      </c>
      <c r="E8" s="97">
        <f>DEAL!$C$26</f>
        <v/>
      </c>
      <c r="G8" s="98" t="inlineStr">
        <is>
          <t>Take-home is after the fixed costs on INPUTS.</t>
        </is>
      </c>
    </row>
    <row r="9" ht="15" customHeight="1" s="85">
      <c r="B9" s="94" t="inlineStr">
        <is>
          <t>Per hour of your own time</t>
        </is>
      </c>
      <c r="C9" s="99">
        <f>DEAL!$C$49</f>
        <v/>
      </c>
      <c r="D9" s="96" t="inlineStr">
        <is>
          <t>hours on this lot</t>
        </is>
      </c>
      <c r="E9" s="100">
        <f>DEAL!$C$48</f>
        <v/>
      </c>
    </row>
    <row r="10" ht="21.75" customHeight="1" s="85">
      <c r="B10" s="101" t="inlineStr">
        <is>
          <t>A YEAR OF LOTS LIKE THIS, take-home</t>
        </is>
      </c>
      <c r="C10" s="102">
        <f>DEAL!$C$53</f>
        <v/>
      </c>
      <c r="D10" s="96" t="inlineStr">
        <is>
          <t>lots a year assumed</t>
        </is>
      </c>
      <c r="E10" s="103">
        <f>DEAL!$C$50</f>
        <v/>
      </c>
      <c r="G10" s="98" t="inlineStr">
        <is>
          <t>Lots per year is an assumption (INPUTS!C32).</t>
        </is>
      </c>
    </row>
    <row r="11" ht="21.75" customHeight="1" s="85">
      <c r="B11" s="101" t="inlineStr">
        <is>
          <t xml:space="preserve">   …which is, per month</t>
        </is>
      </c>
      <c r="C11" s="102">
        <f>DEAL!$C$54</f>
        <v/>
      </c>
      <c r="D11" s="96" t="inlineStr">
        <is>
          <t>per month in US$</t>
        </is>
      </c>
      <c r="E11" s="104">
        <f>DEAL!$C$55</f>
        <v/>
      </c>
    </row>
    <row r="12" ht="15" customHeight="1" s="85">
      <c r="B12" s="94" t="inlineStr">
        <is>
          <t xml:space="preserve">   …for this many hours a month</t>
        </is>
      </c>
      <c r="C12" s="105">
        <f>DEAL!$C$56</f>
        <v/>
      </c>
    </row>
    <row r="14" ht="15" customHeight="1" s="85">
      <c r="B14" s="92" t="inlineStr">
        <is>
          <t>IS THAT REAL?</t>
        </is>
      </c>
      <c r="C14" s="93" t="n"/>
      <c r="D14" s="93" t="n"/>
      <c r="E14" s="93" t="n"/>
      <c r="F14" s="93" t="n"/>
      <c r="G14" s="93" t="n"/>
      <c r="H14" s="93" t="n"/>
    </row>
    <row r="15" ht="15" customHeight="1" s="85">
      <c r="B15" s="94" t="inlineStr">
        <is>
          <t>Net margin on this lot</t>
        </is>
      </c>
      <c r="C15" s="106">
        <f>DEAL!$C$25</f>
        <v/>
      </c>
      <c r="D15" s="96" t="inlineStr">
        <is>
          <t>your target</t>
        </is>
      </c>
      <c r="E15" s="107">
        <f>INPUTS!$C$29</f>
        <v/>
      </c>
    </row>
    <row r="16" ht="15" customHeight="1" s="85">
      <c r="B16" s="94" t="inlineStr">
        <is>
          <t>Cash you must front for one lot</t>
        </is>
      </c>
      <c r="C16" s="95">
        <f>DEAL!$C$29</f>
        <v/>
      </c>
      <c r="D16" s="96" t="inlineStr">
        <is>
          <t>days it is out</t>
        </is>
      </c>
      <c r="E16" s="100">
        <f>DEAL!$C$30</f>
        <v/>
      </c>
    </row>
    <row r="17" ht="15" customHeight="1" s="85">
      <c r="B17" s="94" t="inlineStr">
        <is>
          <t>Annualised return on that cash</t>
        </is>
      </c>
      <c r="C17" s="106">
        <f>DEAL!$C$31</f>
        <v/>
      </c>
    </row>
    <row r="18" ht="15" customHeight="1" s="85">
      <c r="B18" s="94" t="inlineStr">
        <is>
          <t>Lots a year your CAPITAL can carry</t>
        </is>
      </c>
      <c r="C18" s="105">
        <f>DEAL!$C$62</f>
        <v/>
      </c>
      <c r="D18" s="96" t="inlineStr">
        <is>
          <t>lots you planned</t>
        </is>
      </c>
      <c r="E18" s="100">
        <f>DEAL!$C$50</f>
        <v/>
      </c>
      <c r="G18" s="98" t="inlineStr">
        <is>
          <t>The real ceiling on income: cash, not tenders.</t>
        </is>
      </c>
    </row>
    <row r="19" ht="15" customHeight="1" s="85">
      <c r="B19" s="94" t="inlineStr">
        <is>
          <t>Revenue that plan implies (RBT12)</t>
        </is>
      </c>
      <c r="C19" s="95">
        <f>DEAL!$C$64</f>
        <v/>
      </c>
      <c r="D19" s="96" t="inlineStr">
        <is>
          <t>Simples rate it puts you in</t>
        </is>
      </c>
      <c r="E19" s="107">
        <f>DEAL!$C$65</f>
        <v/>
      </c>
    </row>
    <row r="21" ht="15" customHeight="1" s="85">
      <c r="B21" s="92" t="inlineStr">
        <is>
          <t>WHERE EVERY REAL OF BID PRICE GOES  (per kit)</t>
        </is>
      </c>
      <c r="C21" s="93" t="n"/>
      <c r="D21" s="93" t="n"/>
      <c r="E21" s="93" t="n"/>
      <c r="F21" s="93" t="n"/>
      <c r="G21" s="93" t="n"/>
      <c r="H21" s="93" t="n"/>
    </row>
    <row r="22" ht="15" customHeight="1" s="85">
      <c r="C22" s="108" t="inlineStr">
        <is>
          <t>R$ per kit</t>
        </is>
      </c>
      <c r="D22" s="109" t="inlineStr">
        <is>
          <t>% of bid</t>
        </is>
      </c>
    </row>
    <row r="23" ht="15" customHeight="1" s="85">
      <c r="B23" s="110" t="inlineStr">
        <is>
          <t>Bid price per kit</t>
        </is>
      </c>
      <c r="C23" s="111">
        <f>DEAL!$C$15</f>
        <v/>
      </c>
      <c r="D23" s="112">
        <f>IF(OR($C$23="",$C$23=0,C23=""),"",C23/$C$23)</f>
        <v/>
      </c>
    </row>
    <row r="24" ht="15" customHeight="1" s="85">
      <c r="B24" s="94" t="inlineStr">
        <is>
          <t>Goods, after supplier discount</t>
        </is>
      </c>
      <c r="C24" s="97">
        <f>DEAL!$C$7</f>
        <v/>
      </c>
      <c r="D24" s="113">
        <f>IF(OR($C$23="",$C$23=0,C24=""),"",C24/$C$23)</f>
        <v/>
      </c>
      <c r="G24" s="98" t="inlineStr">
        <is>
          <t>Goods + freight over ~94% and nothing saves it.</t>
        </is>
      </c>
    </row>
    <row r="25" ht="15" customHeight="1" s="85">
      <c r="B25" s="94" t="inlineStr">
        <is>
          <t>Freight</t>
        </is>
      </c>
      <c r="C25" s="97">
        <f>DEAL!$C$10</f>
        <v/>
      </c>
      <c r="D25" s="113">
        <f>IF(OR($C$23="",$C$23=0,C25=""),"",C25/$C$23)</f>
        <v/>
      </c>
    </row>
    <row r="26" ht="15" customHeight="1" s="85">
      <c r="B26" s="94" t="inlineStr">
        <is>
          <t>Assembly</t>
        </is>
      </c>
      <c r="C26" s="97">
        <f>DEAL!$C$9</f>
        <v/>
      </c>
      <c r="D26" s="113">
        <f>IF(OR($C$23="",$C$23=0,C26=""),"",C26/$C$23)</f>
        <v/>
      </c>
    </row>
    <row r="27" ht="15" customHeight="1" s="85">
      <c r="B27" s="94" t="inlineStr">
        <is>
          <t>Allowance for unpriced lines + packaging</t>
        </is>
      </c>
      <c r="C27" s="97">
        <f>DEAL!$C$8+DEAL!$C$11</f>
        <v/>
      </c>
      <c r="D27" s="113">
        <f>IF(OR($C$23="",$C$23=0,C27=""),"",C27/$C$23)</f>
        <v/>
      </c>
    </row>
    <row r="28" ht="15" customHeight="1" s="85">
      <c r="B28" s="94" t="inlineStr">
        <is>
          <t>Simples + IRRF + platform fee</t>
        </is>
      </c>
      <c r="C28" s="97">
        <f>IF(INPUTS!$C$5=0,"",(DEAL!$C$21+DEAL!$C$22+DEAL!$C$23)/INPUTS!$C$5)</f>
        <v/>
      </c>
      <c r="D28" s="113">
        <f>IF(OR($C$23="",$C$23=0,C28=""),"",C28/$C$23)</f>
        <v/>
      </c>
    </row>
    <row r="29" ht="15" customHeight="1" s="85">
      <c r="B29" s="114" t="inlineStr">
        <is>
          <t>LEFT OVER  =  net profit per kit</t>
        </is>
      </c>
      <c r="C29" s="115">
        <f>DEAL!$C$26</f>
        <v/>
      </c>
      <c r="D29" s="116">
        <f>IF(OR($C$23="",$C$23=0,C29=""),"",C29/$C$23)</f>
        <v/>
      </c>
    </row>
    <row r="31" ht="15" customHeight="1" s="85">
      <c r="B31" s="92" t="inlineStr">
        <is>
          <t>THE CHECKS  —  every one must pass</t>
        </is>
      </c>
      <c r="C31" s="93" t="n"/>
      <c r="D31" s="93" t="n"/>
      <c r="E31" s="93" t="n"/>
      <c r="F31" s="93" t="n"/>
      <c r="G31" s="93" t="n"/>
      <c r="H31" s="93" t="n"/>
    </row>
    <row r="32" ht="15" customHeight="1" s="85">
      <c r="B32" s="117" t="inlineStr">
        <is>
          <t>Check</t>
        </is>
      </c>
      <c r="C32" s="117" t="inlineStr">
        <is>
          <t>Status</t>
        </is>
      </c>
      <c r="D32" s="117" t="inlineStr">
        <is>
          <t>What it would take</t>
        </is>
      </c>
    </row>
    <row r="33" ht="15" customHeight="1" s="85">
      <c r="B33" s="94" t="inlineStr">
        <is>
          <t>1.  Cost is fully known</t>
        </is>
      </c>
      <c r="C33" s="118">
        <f>IF(DEAL!$C$12="","BLOCKED","PASS")</f>
        <v/>
      </c>
      <c r="D33" s="119">
        <f>IF(DEAL!$C$12="","Assembly or freight is blank. Quote it — a blank is not a zero.","Total cost R$"&amp;TEXT(DEAL!$C$12,"#,##0.00")&amp;" per kit")</f>
        <v/>
      </c>
    </row>
    <row r="34" ht="15" customHeight="1" s="85">
      <c r="B34" s="94" t="inlineStr">
        <is>
          <t>2.  The lot makes money</t>
        </is>
      </c>
      <c r="C34" s="118">
        <f>IF(DEAL!$C$25="","—",IF(DEAL!$C$25&lt;0,"FAIL","PASS"))</f>
        <v/>
      </c>
      <c r="D34" s="119">
        <f>IF(DEAL!$C$25="","Cost unknown",IF(DEAL!$C$25&lt;0,"You would have to bid at least "&amp;TEXT(DEAL!$C$37,"0.0%")&amp;" of estimate just to break even","Break-even bid is "&amp;TEXT(DEAL!$C$37,"0.0%")&amp;" of estimate; you are bidding "&amp;TEXT(INPUTS!$C$7,"0.0%")))</f>
        <v/>
      </c>
    </row>
    <row r="35" ht="15" customHeight="1" s="85">
      <c r="B35" s="94" t="inlineStr">
        <is>
          <t>3.  It hits your target margin</t>
        </is>
      </c>
      <c r="C35" s="118">
        <f>IF(DEAL!$C$25="","—",IF(DEAL!$C$25&gt;=INPUTS!$C$29,"PASS","THIN"))</f>
        <v/>
      </c>
      <c r="D35" s="119">
        <f>IF(DEAL!$C$25="","Cost unknown",IF(DEAL!$C$25&gt;=INPUTS!$C$29,"Clears target with room","Needs "&amp;TEXT(DEAL!$C$40,"0.0%")&amp;" off list from the supplier, OR freight under R$"&amp;TEXT(DEAL!$C$43,"#,##0.00")&amp;" per kit, OR a bid at "&amp;TEXT(DEAL!$C$36,"0.0%")&amp;" of estimate"))</f>
        <v/>
      </c>
    </row>
    <row r="36" ht="15" customHeight="1" s="85">
      <c r="B36" s="94" t="inlineStr">
        <is>
          <t>4.  You can fund one lot</t>
        </is>
      </c>
      <c r="C36" s="118">
        <f>IF(INPUTS!$C$28="","UNKNOWN",IF(DEAL!$C$29="","—",IF(DEAL!$C$29&lt;=INPUTS!$C$28,"PASS","SHORT")))</f>
        <v/>
      </c>
      <c r="D36" s="119">
        <f>IF(INPUTS!$C$28="","Capital not set — put your real number in INPUTS!C28",IF(DEAL!$C$29="","Cost unknown",IF(DEAL!$C$29&lt;=INPUTS!$C$28,"Needs R$"&amp;TEXT(DEAL!$C$29,"#,##0")&amp;" of the R$"&amp;TEXT(INPUTS!$C$28,"#,##0")&amp;" you have","Short by R$"&amp;TEXT(DEAL!$C$29-INPUTS!$C$28,"#,##0")&amp;" for "&amp;TEXT(INPUTS!$C$10,"0")&amp;" days")))</f>
        <v/>
      </c>
    </row>
    <row r="37" ht="15" customHeight="1" s="85">
      <c r="B37" s="94" t="inlineStr">
        <is>
          <t>5.  Your capital can carry the year you planned</t>
        </is>
      </c>
      <c r="C37" s="118">
        <f>IF(OR(DEAL!$C$62="",DEAL!$C$62=0),"UNKNOWN",IF(DEAL!$C$62&gt;=DEAL!$C$50,"PASS","CAPPED"))</f>
        <v/>
      </c>
      <c r="D37" s="119">
        <f>IF(OR(DEAL!$C$62="",DEAL!$C$62=0),"Set capital on INPUTS!C28 to answer this",IF(DEAL!$C$62&gt;=DEAL!$C$50,"Capital supports "&amp;TEXT(DEAL!$C$62,"#,##0.0")&amp;" lots a year; you planned "&amp;TEXT(DEAL!$C$50,"#,##0"),"Capital supports only "&amp;TEXT(DEAL!$C$62,"#,##0.0")&amp;" lots a year, not "&amp;TEXT(DEAL!$C$50,"#,##0")&amp;". Income is capped by cash, not by tenders. Supplier terms fix this for free; a loan costs money"))</f>
        <v/>
      </c>
    </row>
    <row r="38" ht="15" customHeight="1" s="85">
      <c r="B38" s="94" t="inlineStr">
        <is>
          <t>6.  You can pack it yourself</t>
        </is>
      </c>
      <c r="C38" s="118">
        <f>IF(INPUTS!$C$5&lt;=INPUTS!$C$20,"PASS","NEEDS CO-PACKER")</f>
        <v/>
      </c>
      <c r="D38" s="119">
        <f>IF(INPUTS!$C$5&lt;=INPUTS!$C$20,TEXT(INPUTS!$C$5,"#,##0")&amp;" kits is inside the "&amp;TEXT(INPUTS!$C$20,"#,##0")&amp;"-kit self-pack ceiling","Lot of "&amp;TEXT(INPUTS!$C$5,"#,##0")&amp;" exceeds the "&amp;TEXT(INPUTS!$C$20,"#,##0")&amp;"-kit ceiling. No SP co-packer publishes a price — get one before you bid")</f>
        <v/>
      </c>
    </row>
    <row r="39" ht="15" customHeight="1" s="85">
      <c r="B39" s="94" t="inlineStr">
        <is>
          <t>7.  The BOM is fully priced</t>
        </is>
      </c>
      <c r="C39" s="118">
        <f>IF(BOM!$E$23=0,"PASS","OPEN")</f>
        <v/>
      </c>
      <c r="D39" s="119">
        <f>IF(BOM!$E$23=0,"All 17 lines priced",TEXT(BOM!$E$23,"0")&amp;" line(s) unpriced. You are carrying R$"&amp;TEXT(INPUTS!$C$17,"#,##0.00")&amp;" of allowance against them — a guess, not a quote")</f>
        <v/>
      </c>
    </row>
    <row r="40" ht="15" customHeight="1" s="85">
      <c r="B40" s="94" t="inlineStr">
        <is>
          <t>8.  Freight is measured for this UF and mode</t>
        </is>
      </c>
      <c r="C40" s="118">
        <f>IF(INPUTS!$C$14&lt;&gt;"","PASS",IF(FREIGHT!$B$8="","NOT MEASURED","PASS"))</f>
        <v/>
      </c>
      <c r="D40" s="119">
        <f>IF(INPUTS!$C$14&lt;&gt;"","Using your quoted override of R$"&amp;TEXT(INPUTS!$C$14,"#,##0.00"),IF(FREIGHT!$B$8="","No measured rate for "&amp;INPUTS!$C$8&amp;" by "&amp;INPUTS!$C$9&amp;". Quote it, or change the mode","R$"&amp;TEXT(FREIGHT!$B$8,"#,##0.00")&amp;" per kit, measured to the CAPITAL CEP only — interior will differ"))</f>
        <v/>
      </c>
    </row>
    <row r="41" ht="15" customHeight="1" s="85">
      <c r="B41" s="94" t="inlineStr">
        <is>
          <t>9.  The tax bracket matches the year you planned</t>
        </is>
      </c>
      <c r="C41" s="118">
        <f>IF(ABS(DEAL!$C$65-DEAL!$C$20)&lt;0.0001,"PASS","UNDERSTATED")</f>
        <v/>
      </c>
      <c r="D41" s="119">
        <f>IF(ABS(DEAL!$C$65-DEAL!$C$20)&lt;0.0001,"RBT12 on INPUTS matches the "&amp;TEXT(DEAL!$C$64,"#,##0")&amp;" of revenue your plan implies","You are taxed at "&amp;TEXT(DEAL!$C$20,"0.00%")&amp;" but "&amp;TEXT(DEAL!$C$50,"#,##0")&amp;" lots implies R$"&amp;TEXT(DEAL!$C$64,"#,##0")&amp;" of revenue, which is the "&amp;TEXT(DEAL!$C$65,"0.00%")&amp;" bracket. Raise INPUTS!C23")</f>
        <v/>
      </c>
    </row>
    <row r="43" ht="15" customHeight="1" s="85">
      <c r="B43" s="101" t="inlineStr">
        <is>
          <t>Checks not passed</t>
        </is>
      </c>
      <c r="C43" s="120">
        <f>SUMPRODUCT(--($C$33:$C$41&lt;&gt;"PASS"))</f>
        <v/>
      </c>
      <c r="D43" s="96" t="inlineStr">
        <is>
          <t>out of 9</t>
        </is>
      </c>
    </row>
    <row r="45" ht="15" customHeight="1" s="85">
      <c r="B45" s="92" t="inlineStr">
        <is>
          <t>WHAT WOULD HAVE TO BE TRUE</t>
        </is>
      </c>
      <c r="C45" s="93" t="n"/>
      <c r="D45" s="93" t="n"/>
      <c r="E45" s="93" t="n"/>
      <c r="F45" s="93" t="n"/>
      <c r="G45" s="93" t="n"/>
      <c r="H45" s="93" t="n"/>
    </row>
    <row r="46" ht="15" customHeight="1" s="85">
      <c r="B46" s="94" t="inlineStr">
        <is>
          <t>Supplier discount off list needed to hit target</t>
        </is>
      </c>
      <c r="C46" s="121">
        <f>DEAL!$C$40</f>
        <v/>
      </c>
      <c r="D46" s="98" t="inlineStr">
        <is>
          <t>The single biggest lever in the model. 45% is the UNVERIFIED account-tier figure.</t>
        </is>
      </c>
    </row>
    <row r="47" ht="15" customHeight="1" s="85">
      <c r="B47" s="94" t="inlineStr">
        <is>
          <t>Supplier discount needed merely to break even</t>
        </is>
      </c>
      <c r="C47" s="121">
        <f>DEAL!$C$42</f>
        <v/>
      </c>
      <c r="D47" s="98" t="inlineStr">
        <is>
          <t>Negative means list price alone already breaks even.</t>
        </is>
      </c>
    </row>
    <row r="48" ht="15" customHeight="1" s="85">
      <c r="B48" s="94" t="inlineStr">
        <is>
          <t>Max freight per kit at target margin</t>
        </is>
      </c>
      <c r="C48" s="111">
        <f>DEAL!$C$43</f>
        <v/>
      </c>
      <c r="D48" s="98" t="inlineStr">
        <is>
          <t>Negative means no freight price on earth saves this bid.</t>
        </is>
      </c>
    </row>
    <row r="49" ht="15" customHeight="1" s="85">
      <c r="B49" s="94" t="inlineStr">
        <is>
          <t>Max freight per kit to break even</t>
        </is>
      </c>
      <c r="C49" s="111">
        <f>DEAL!$C$44</f>
        <v/>
      </c>
    </row>
    <row r="50" ht="15" customHeight="1" s="85">
      <c r="B50" s="94" t="inlineStr">
        <is>
          <t>Bid as % of estimate needed for target margin</t>
        </is>
      </c>
      <c r="C50" s="121">
        <f>DEAL!$C$36</f>
        <v/>
      </c>
      <c r="D50" s="98" t="inlineStr">
        <is>
          <t>Above ~97% the lot cannot be won: per-item lines clear at 97–100%.</t>
        </is>
      </c>
    </row>
    <row r="51" ht="15" customHeight="1" s="85">
      <c r="B51" s="94" t="inlineStr">
        <is>
          <t>Bid as % of estimate to break even</t>
        </is>
      </c>
      <c r="C51" s="121">
        <f>DEAL!$C$37</f>
        <v/>
      </c>
    </row>
    <row r="53" ht="15" customHeight="1" s="85">
      <c r="B53" s="92" t="inlineStr">
        <is>
          <t>STILL PRICED AT ZERO  —  read before you trust any of the above</t>
        </is>
      </c>
      <c r="C53" s="93" t="n"/>
      <c r="D53" s="93" t="n"/>
      <c r="E53" s="93" t="n"/>
      <c r="F53" s="93" t="n"/>
      <c r="G53" s="93" t="n"/>
      <c r="H53" s="93" t="n"/>
    </row>
    <row r="54" ht="15" customHeight="1" s="85">
      <c r="B54" s="94" t="inlineStr">
        <is>
          <t>Unpriced BOM lines</t>
        </is>
      </c>
      <c r="C54" s="122">
        <f>BOM!$E$23</f>
        <v/>
      </c>
      <c r="D54" s="98" t="inlineStr">
        <is>
          <t>The kit bag. Allowance carried:</t>
        </is>
      </c>
      <c r="E54" s="97">
        <f>INPUTS!$C$17</f>
        <v/>
      </c>
    </row>
    <row r="55" ht="15" customHeight="1" s="85">
      <c r="B55" s="94" t="inlineStr">
        <is>
          <t>Co-packer cost per kit</t>
        </is>
      </c>
      <c r="C55" s="123">
        <f>IF(INPUTS!$C$19="","NOT QUOTED",INPUTS!$C$19)</f>
        <v/>
      </c>
      <c r="D55" s="98" t="inlineStr">
        <is>
          <t>Only bites above the self-pack ceiling.</t>
        </is>
      </c>
    </row>
    <row r="56" ht="15" customHeight="1" s="85">
      <c r="B56" s="94" t="inlineStr">
        <is>
          <t>Packaging / box / label</t>
        </is>
      </c>
      <c r="C56" s="111">
        <f>INPUTS!$C$18</f>
        <v/>
      </c>
      <c r="D56" s="98" t="inlineStr">
        <is>
          <t>A 60×40×40 box is not free.</t>
        </is>
      </c>
    </row>
    <row r="57" ht="15" customHeight="1" s="85">
      <c r="B57" s="94" t="inlineStr">
        <is>
          <t>Annual fixed costs assumed</t>
        </is>
      </c>
      <c r="C57" s="124">
        <f>INPUTS!$C$33</f>
        <v/>
      </c>
      <c r="D57" s="98" t="inlineStr">
        <is>
          <t>Contador, e-CNPJ, site, server. Estimated, not quoted.</t>
        </is>
      </c>
    </row>
    <row r="59" ht="15" customHeight="1" s="85">
      <c r="B59" s="98" t="inlineStr">
        <is>
          <t>Blue on yellow = you type it, and only on INPUTS.   Green = pulled from another sheet.   Black = formula. Do not type over black cells.</t>
        </is>
      </c>
    </row>
  </sheetData>
  <mergeCells count="20">
    <mergeCell ref="D35:H35"/>
    <mergeCell ref="D34:H34"/>
    <mergeCell ref="D46:H46"/>
    <mergeCell ref="D40:H40"/>
    <mergeCell ref="D36:H36"/>
    <mergeCell ref="D57:H57"/>
    <mergeCell ref="D41:H41"/>
    <mergeCell ref="D32:H32"/>
    <mergeCell ref="B59:H59"/>
    <mergeCell ref="B3:H3"/>
    <mergeCell ref="D48:H48"/>
    <mergeCell ref="D47:H47"/>
    <mergeCell ref="D37:H37"/>
    <mergeCell ref="D56:H56"/>
    <mergeCell ref="D39:H39"/>
    <mergeCell ref="D55:H55"/>
    <mergeCell ref="C5:H5"/>
    <mergeCell ref="D33:H33"/>
    <mergeCell ref="D38:H38"/>
    <mergeCell ref="D50:H50"/>
  </mergeCells>
  <conditionalFormatting sqref="C5">
    <cfRule type="expression" rank="0" priority="2" equalAverage="0" aboveAverage="0" dxfId="0" text="" percent="0" bottom="0">
      <formula>LEFT($C$5,2)="NO"</formula>
    </cfRule>
    <cfRule type="expression" rank="0" priority="3" equalAverage="0" aboveAverage="0" dxfId="1" text="" percent="0" bottom="0">
      <formula>LEFT($C$5,4)="THIN"</formula>
    </cfRule>
    <cfRule type="expression" rank="0" priority="4" equalAverage="0" aboveAverage="0" dxfId="2" text="" percent="0" bottom="0">
      <formula>LEFT($C$5,7)="PENCILS"</formula>
    </cfRule>
  </conditionalFormatting>
  <conditionalFormatting sqref="C10">
    <cfRule type="expression" rank="0" priority="5" equalAverage="0" aboveAverage="0" dxfId="0" text="" percent="0" bottom="0">
      <formula>AND(ISNUMBER(C10),C10&lt;0)</formula>
    </cfRule>
  </conditionalFormatting>
  <conditionalFormatting sqref="E10">
    <cfRule type="expression" rank="0" priority="6" equalAverage="0" aboveAverage="0" dxfId="0" text="" percent="0" bottom="0">
      <formula>AND(ISNUMBER(E10),E10&lt;0)</formula>
    </cfRule>
  </conditionalFormatting>
  <conditionalFormatting sqref="C11">
    <cfRule type="expression" rank="0" priority="7" equalAverage="0" aboveAverage="0" dxfId="0" text="" percent="0" bottom="0">
      <formula>AND(ISNUMBER(C11),C11&lt;0)</formula>
    </cfRule>
  </conditionalFormatting>
  <conditionalFormatting sqref="E11">
    <cfRule type="expression" rank="0" priority="8" equalAverage="0" aboveAverage="0" dxfId="0" text="" percent="0" bottom="0">
      <formula>AND(ISNUMBER(E11),E11&lt;0)</formula>
    </cfRule>
  </conditionalFormatting>
  <conditionalFormatting sqref="C33">
    <cfRule type="expression" rank="0" priority="9" equalAverage="0" aboveAverage="0" dxfId="2" text="" percent="0" bottom="0">
      <formula>$C33="PASS"</formula>
    </cfRule>
    <cfRule type="expression" rank="0" priority="10" equalAverage="0" aboveAverage="0" dxfId="0" text="" percent="0" bottom="0">
      <formula>OR($C33="BLOCKED",$C33="FAIL",$C33="SHORT",$C33="NOT MEASURED",$C33="CAPPED")</formula>
    </cfRule>
    <cfRule type="expression" rank="0" priority="11" equalAverage="0" aboveAverage="0" dxfId="1" text="" percent="0" bottom="0">
      <formula>$C33&lt;&gt;""</formula>
    </cfRule>
  </conditionalFormatting>
  <conditionalFormatting sqref="C34">
    <cfRule type="expression" rank="0" priority="12" equalAverage="0" aboveAverage="0" dxfId="2" text="" percent="0" bottom="0">
      <formula>$C34="PASS"</formula>
    </cfRule>
    <cfRule type="expression" rank="0" priority="13" equalAverage="0" aboveAverage="0" dxfId="0" text="" percent="0" bottom="0">
      <formula>OR($C34="BLOCKED",$C34="FAIL",$C34="SHORT",$C34="NOT MEASURED",$C34="CAPPED")</formula>
    </cfRule>
    <cfRule type="expression" rank="0" priority="14" equalAverage="0" aboveAverage="0" dxfId="1" text="" percent="0" bottom="0">
      <formula>$C34&lt;&gt;""</formula>
    </cfRule>
  </conditionalFormatting>
  <conditionalFormatting sqref="C35">
    <cfRule type="expression" rank="0" priority="15" equalAverage="0" aboveAverage="0" dxfId="2" text="" percent="0" bottom="0">
      <formula>$C35="PASS"</formula>
    </cfRule>
    <cfRule type="expression" rank="0" priority="16" equalAverage="0" aboveAverage="0" dxfId="0" text="" percent="0" bottom="0">
      <formula>OR($C35="BLOCKED",$C35="FAIL",$C35="SHORT",$C35="NOT MEASURED",$C35="CAPPED")</formula>
    </cfRule>
    <cfRule type="expression" rank="0" priority="17" equalAverage="0" aboveAverage="0" dxfId="1" text="" percent="0" bottom="0">
      <formula>$C35&lt;&gt;""</formula>
    </cfRule>
  </conditionalFormatting>
  <conditionalFormatting sqref="C36">
    <cfRule type="expression" rank="0" priority="18" equalAverage="0" aboveAverage="0" dxfId="2" text="" percent="0" bottom="0">
      <formula>$C36="PASS"</formula>
    </cfRule>
    <cfRule type="expression" rank="0" priority="19" equalAverage="0" aboveAverage="0" dxfId="0" text="" percent="0" bottom="0">
      <formula>OR($C36="BLOCKED",$C36="FAIL",$C36="SHORT",$C36="NOT MEASURED",$C36="CAPPED")</formula>
    </cfRule>
    <cfRule type="expression" rank="0" priority="20" equalAverage="0" aboveAverage="0" dxfId="1" text="" percent="0" bottom="0">
      <formula>$C36&lt;&gt;""</formula>
    </cfRule>
  </conditionalFormatting>
  <conditionalFormatting sqref="C37">
    <cfRule type="expression" rank="0" priority="21" equalAverage="0" aboveAverage="0" dxfId="2" text="" percent="0" bottom="0">
      <formula>$C37="PASS"</formula>
    </cfRule>
    <cfRule type="expression" rank="0" priority="22" equalAverage="0" aboveAverage="0" dxfId="0" text="" percent="0" bottom="0">
      <formula>OR($C37="BLOCKED",$C37="FAIL",$C37="SHORT",$C37="NOT MEASURED",$C37="CAPPED")</formula>
    </cfRule>
    <cfRule type="expression" rank="0" priority="23" equalAverage="0" aboveAverage="0" dxfId="1" text="" percent="0" bottom="0">
      <formula>$C37&lt;&gt;""</formula>
    </cfRule>
  </conditionalFormatting>
  <conditionalFormatting sqref="C38">
    <cfRule type="expression" rank="0" priority="24" equalAverage="0" aboveAverage="0" dxfId="2" text="" percent="0" bottom="0">
      <formula>$C38="PASS"</formula>
    </cfRule>
    <cfRule type="expression" rank="0" priority="25" equalAverage="0" aboveAverage="0" dxfId="0" text="" percent="0" bottom="0">
      <formula>OR($C38="BLOCKED",$C38="FAIL",$C38="SHORT",$C38="NOT MEASURED",$C38="CAPPED")</formula>
    </cfRule>
    <cfRule type="expression" rank="0" priority="26" equalAverage="0" aboveAverage="0" dxfId="1" text="" percent="0" bottom="0">
      <formula>$C38&lt;&gt;""</formula>
    </cfRule>
  </conditionalFormatting>
  <conditionalFormatting sqref="C39">
    <cfRule type="expression" rank="0" priority="27" equalAverage="0" aboveAverage="0" dxfId="2" text="" percent="0" bottom="0">
      <formula>$C39="PASS"</formula>
    </cfRule>
    <cfRule type="expression" rank="0" priority="28" equalAverage="0" aboveAverage="0" dxfId="0" text="" percent="0" bottom="0">
      <formula>OR($C39="BLOCKED",$C39="FAIL",$C39="SHORT",$C39="NOT MEASURED",$C39="CAPPED")</formula>
    </cfRule>
    <cfRule type="expression" rank="0" priority="29" equalAverage="0" aboveAverage="0" dxfId="1" text="" percent="0" bottom="0">
      <formula>$C39&lt;&gt;""</formula>
    </cfRule>
  </conditionalFormatting>
  <conditionalFormatting sqref="C40">
    <cfRule type="expression" rank="0" priority="30" equalAverage="0" aboveAverage="0" dxfId="2" text="" percent="0" bottom="0">
      <formula>$C40="PASS"</formula>
    </cfRule>
    <cfRule type="expression" rank="0" priority="31" equalAverage="0" aboveAverage="0" dxfId="0" text="" percent="0" bottom="0">
      <formula>OR($C40="BLOCKED",$C40="FAIL",$C40="SHORT",$C40="NOT MEASURED",$C40="CAPPED")</formula>
    </cfRule>
    <cfRule type="expression" rank="0" priority="32" equalAverage="0" aboveAverage="0" dxfId="1" text="" percent="0" bottom="0">
      <formula>$C40&lt;&gt;""</formula>
    </cfRule>
  </conditionalFormatting>
  <conditionalFormatting sqref="C41">
    <cfRule type="expression" rank="0" priority="33" equalAverage="0" aboveAverage="0" dxfId="2" text="" percent="0" bottom="0">
      <formula>$C41="PASS"</formula>
    </cfRule>
    <cfRule type="expression" rank="0" priority="34" equalAverage="0" aboveAverage="0" dxfId="0" text="" percent="0" bottom="0">
      <formula>OR($C41="BLOCKED",$C41="FAIL",$C41="SHORT",$C41="NOT MEASURED",$C41="CAPPED")</formula>
    </cfRule>
    <cfRule type="expression" rank="0" priority="35" equalAverage="0" aboveAverage="0" dxfId="1" text="" percent="0" bottom="0">
      <formula>$C41&lt;&gt;""</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C000"/>
    <outlinePr summaryBelow="1" summaryRight="1"/>
    <pageSetUpPr fitToPage="0"/>
  </sheetPr>
  <dimension ref="B2:D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 customWidth="1" style="84" min="1" max="1"/>
    <col width="50" customWidth="1" style="84" min="2" max="2"/>
    <col width="18" customWidth="1" style="84" min="3" max="3"/>
    <col width="104" customWidth="1" style="84" min="4" max="4"/>
  </cols>
  <sheetData>
    <row r="2" ht="17.35" customHeight="1" s="85">
      <c r="B2" s="125" t="inlineStr">
        <is>
          <t>INPUTS  —  the only sheet you type on</t>
        </is>
      </c>
    </row>
    <row r="3" ht="15" customHeight="1" s="85">
      <c r="B3" s="98" t="inlineStr">
        <is>
          <t>Every yellow cell is a number you choose or measure. Nothing anywhere else in this workbook is typed. One tender per copy of this file.</t>
        </is>
      </c>
    </row>
    <row r="4" ht="15" customHeight="1" s="85">
      <c r="B4" s="92" t="inlineStr">
        <is>
          <t>THE TENDER</t>
        </is>
      </c>
      <c r="C4" s="93" t="n"/>
      <c r="D4" s="93" t="n"/>
    </row>
    <row r="5" ht="15" customHeight="1" s="85">
      <c r="B5" s="94" t="inlineStr">
        <is>
          <t>Kits in the lot (quantidade)</t>
        </is>
      </c>
      <c r="C5" s="126" t="n">
        <v>61</v>
      </c>
      <c r="D5" s="98" t="inlineStr">
        <is>
          <t>For an SRP, the quantity you actually expect to be called off — not the ceiling.</t>
        </is>
      </c>
    </row>
    <row r="6" ht="15" customHeight="1" s="85">
      <c r="B6" s="94" t="inlineStr">
        <is>
          <t>Buyer's estimated price per kit (valor estimado)</t>
        </is>
      </c>
      <c r="C6" s="127" t="n">
        <v>359.05</v>
      </c>
      <c r="D6" s="98" t="inlineStr">
        <is>
          <t>From the edital. R$359,05 was the Itaquaquecetuba 2025 estimate for a 17-item kit.</t>
        </is>
      </c>
    </row>
    <row r="7" ht="15" customHeight="1" s="85">
      <c r="B7" s="94" t="inlineStr">
        <is>
          <t>My bid as % of the estimate</t>
        </is>
      </c>
      <c r="C7" s="128" t="n">
        <v>0.9</v>
      </c>
      <c r="D7" s="98" t="inlineStr">
        <is>
          <t>Per-item lines clear at 97–100% of estimate; lote unico at 36–63%.</t>
        </is>
      </c>
    </row>
    <row r="8" ht="15" customHeight="1" s="85">
      <c r="B8" s="94" t="inlineStr">
        <is>
          <t>Buyer UF</t>
        </is>
      </c>
      <c r="C8" s="129" t="inlineStr">
        <is>
          <t>CE</t>
        </is>
      </c>
      <c r="D8" s="98" t="inlineStr">
        <is>
          <t>Two letters. Drives freight and transit from the FREIGHT sheet.</t>
        </is>
      </c>
    </row>
    <row r="9" ht="15" customHeight="1" s="85">
      <c r="B9" s="94" t="inlineStr">
        <is>
          <t>Delivery mode:  LTL  or  PARCEL</t>
        </is>
      </c>
      <c r="C9" s="129" t="inlineStr">
        <is>
          <t>LTL</t>
        </is>
      </c>
      <c r="D9" s="98" t="inlineStr">
        <is>
          <t>LTL only when the edital delivers the WHOLE lot to ONE address in one go. 'Parcelado' or per-ordem addresses = PARCEL.</t>
        </is>
      </c>
    </row>
    <row r="10" ht="15" customHeight="1" s="85">
      <c r="B10" s="94" t="inlineStr">
        <is>
          <t>Days from empenho to cash in the bank</t>
        </is>
      </c>
      <c r="C10" s="126" t="n">
        <v>45</v>
      </c>
      <c r="D10" s="98" t="inlineStr">
        <is>
          <t>Measured on 7 editais: 34 best, 40–55 typical, 69 worst (docs/ORDER_TO_CASH.md).</t>
        </is>
      </c>
    </row>
    <row r="12" ht="15" customHeight="1" s="85">
      <c r="B12" s="92" t="inlineStr">
        <is>
          <t>THE TWO LEVERS THAT DECIDE THIS DEAL</t>
        </is>
      </c>
      <c r="C12" s="93" t="n"/>
      <c r="D12" s="93" t="n"/>
    </row>
    <row r="13" ht="15" customHeight="1" s="85">
      <c r="B13" s="94" t="inlineStr">
        <is>
          <t>Supplier discount off list (account tier)</t>
        </is>
      </c>
      <c r="C13" s="128" t="n">
        <v>0</v>
      </c>
      <c r="D13" s="98" t="inlineStr">
        <is>
          <t>0% until an account is opened. ~45% is the UNVERIFIED account-tier figure — do not use it until it is quoted in writing.</t>
        </is>
      </c>
    </row>
    <row r="14" ht="15" customHeight="1" s="85">
      <c r="B14" s="94" t="inlineStr">
        <is>
          <t>Freight per kit OVERRIDE (blank = use the table)</t>
        </is>
      </c>
      <c r="C14" s="127" t="n"/>
      <c r="D14" s="98" t="inlineStr">
        <is>
          <t>A real quoted figure typed here replaces the FREIGHT table for this deal.</t>
        </is>
      </c>
    </row>
    <row r="16" ht="15" customHeight="1" s="85">
      <c r="B16" s="92" t="inlineStr">
        <is>
          <t>COSTS NOT YET IN THE BOM</t>
        </is>
      </c>
      <c r="C16" s="93" t="n"/>
      <c r="D16" s="93" t="n"/>
    </row>
    <row r="17" ht="15" customHeight="1" s="85">
      <c r="B17" s="94" t="inlineStr">
        <is>
          <t>Allowance for unpriced BOM lines</t>
        </is>
      </c>
      <c r="C17" s="127" t="n">
        <v>0</v>
      </c>
      <c r="D17" s="98" t="inlineStr">
        <is>
          <t>BOM has 1 unpriced line (the kit bag). Leaving this at 0 means bidding as if the bag is free.</t>
        </is>
      </c>
    </row>
    <row r="18" ht="15" customHeight="1" s="85">
      <c r="B18" s="94" t="inlineStr">
        <is>
          <t>Packaging / box / label per kit</t>
        </is>
      </c>
      <c r="C18" s="127" t="n">
        <v>0</v>
      </c>
      <c r="D18" s="98" t="inlineStr">
        <is>
          <t>Not yet costed.</t>
        </is>
      </c>
    </row>
    <row r="19" ht="15" customHeight="1" s="85">
      <c r="B19" s="94" t="inlineStr">
        <is>
          <t>Co-packer cost per kit (only if lot &gt; ceiling)</t>
        </is>
      </c>
      <c r="C19" s="127" t="n"/>
      <c r="D19" s="98" t="inlineStr">
        <is>
          <t>NO QUOTE EXISTS — 24 SP providers surveyed, none publishes a price. Blank = unknown, and the verdict blocks rather than assuming zero.</t>
        </is>
      </c>
    </row>
    <row r="20" ht="15" customHeight="1" s="85">
      <c r="B20" s="94" t="inlineStr">
        <is>
          <t>Self-pack ceiling (kits you can pack per order)</t>
        </is>
      </c>
      <c r="C20" s="126" t="n">
        <v>240</v>
      </c>
      <c r="D20" s="98" t="inlineStr">
        <is>
          <t>config/capital.yaml: 8 h per won order at 2 min/kit.</t>
        </is>
      </c>
    </row>
    <row r="22" ht="15" customHeight="1" s="85">
      <c r="B22" s="92" t="inlineStr">
        <is>
          <t>TAX, FEES, CAPITAL</t>
        </is>
      </c>
      <c r="C22" s="93" t="n"/>
      <c r="D22" s="93" t="n"/>
    </row>
    <row r="23" ht="15" customHeight="1" s="85">
      <c r="B23" s="94" t="inlineStr">
        <is>
          <t>Revenue last 12 months (RBT12)</t>
        </is>
      </c>
      <c r="C23" s="130" t="n">
        <v>180000</v>
      </c>
      <c r="D23" s="98" t="inlineStr">
        <is>
          <t>Anexo I efetivo: ≤180k 4,00% · 360k 5,65% · 720k 7,58% · 1,8M ~9,1% · 3,6M ~11,9%. Tem de bater com a receita do ano que você planeia — é o que a verificação 9 compara.</t>
        </is>
      </c>
    </row>
    <row r="24" ht="15" customHeight="1" s="85">
      <c r="B24" s="94" t="inlineStr">
        <is>
          <t>IRRF withheld by the buyer</t>
        </is>
      </c>
      <c r="C24" s="128" t="n">
        <v>0</v>
      </c>
      <c r="D24" s="98" t="inlineStr">
        <is>
          <t>0% if the IN RFB 1.234 Anexo IV declaration is filed with every contract. 1,2% if it is not — and there is no refund path.</t>
        </is>
      </c>
    </row>
    <row r="25" ht="15" customHeight="1" s="85">
      <c r="B25" s="94" t="inlineStr">
        <is>
          <t>Platform fee as % of lot value</t>
        </is>
      </c>
      <c r="C25" s="128" t="n">
        <v>0.015</v>
      </c>
      <c r="D25" s="98" t="inlineStr">
        <is>
          <t>BLL: 1,5% of the lote adjudicado, only on a win. Compras.gov.br: 0%.</t>
        </is>
      </c>
    </row>
    <row r="26" ht="15" customHeight="1" s="85">
      <c r="B26" s="94" t="inlineStr">
        <is>
          <t>Platform fee cap (R$)</t>
        </is>
      </c>
      <c r="C26" s="130" t="n">
        <v>600</v>
      </c>
      <c r="D26" s="98" t="inlineStr">
        <is>
          <t>BLL caps at R$600 when the lote exceeds R$40.000. Use a huge number for no cap.</t>
        </is>
      </c>
    </row>
    <row r="27" ht="15" customHeight="1" s="85">
      <c r="B27" s="94" t="inlineStr">
        <is>
          <t>Platform fixed fee per process (R$)</t>
        </is>
      </c>
      <c r="C27" s="127" t="n">
        <v>0</v>
      </c>
      <c r="D27" s="98" t="inlineStr">
        <is>
          <t>BNC R$118,80 / PCP R$129 per process, charged even when you lose. BLL and Compras.gov.br: 0.</t>
        </is>
      </c>
    </row>
    <row r="28" ht="15" customHeight="1" s="85">
      <c r="B28" s="94" t="inlineStr">
        <is>
          <t>Capital available (R$)</t>
        </is>
      </c>
      <c r="C28" s="130" t="n">
        <v>15600</v>
      </c>
      <c r="D28" s="98" t="inlineStr">
        <is>
          <t>From the written plan. Confirm it — every capacity number in the model moves with this one cell. Blank it out and checks 4 and 5 say UNKNOWN instead of guessing.</t>
        </is>
      </c>
    </row>
    <row r="29" ht="15" customHeight="1" s="85">
      <c r="B29" s="94" t="inlineStr">
        <is>
          <t>Target NET margin</t>
        </is>
      </c>
      <c r="C29" s="128" t="n">
        <v>0.15</v>
      </c>
      <c r="D29" s="98" t="inlineStr">
        <is>
          <t>What 'pencils' means to you. Change it and everything the verdict demands moves with it.</t>
        </is>
      </c>
    </row>
    <row r="31" ht="15" customHeight="1" s="85">
      <c r="B31" s="92" t="inlineStr">
        <is>
          <t>TURNING ONE DEAL INTO A YEAR  —  this is what you actually take home</t>
        </is>
      </c>
      <c r="C31" s="93" t="n"/>
      <c r="D31" s="93" t="n"/>
    </row>
    <row r="32" ht="15" customHeight="1" s="85">
      <c r="B32" s="94" t="inlineStr">
        <is>
          <t>Lots like this you expect to win in a year</t>
        </is>
      </c>
      <c r="C32" s="126" t="n">
        <v>8</v>
      </c>
      <c r="D32" s="98" t="inlineStr">
        <is>
          <t>The written plan's figure. It is an assumption: Brazil publishes winners, never losers, so no one can measure a win rate until they have bid. Check 5 tests it against your capital.</t>
        </is>
      </c>
    </row>
    <row r="33" ht="15" customHeight="1" s="85">
      <c r="B33" s="94" t="inlineStr">
        <is>
          <t>Annual fixed costs (R$)</t>
        </is>
      </c>
      <c r="C33" s="130" t="n">
        <v>6000</v>
      </c>
      <c r="D33" s="98" t="inlineStr">
        <is>
          <t>Contador ~R$300/mo = 3.600, e-CNPJ ~250, domain + site ~300, server ~360, contingency. Estimated, not quoted.</t>
        </is>
      </c>
    </row>
    <row r="34" ht="15" customHeight="1" s="85">
      <c r="B34" s="94" t="inlineStr">
        <is>
          <t>Your hours per won order</t>
        </is>
      </c>
      <c r="C34" s="126" t="n">
        <v>8</v>
      </c>
      <c r="D34" s="98" t="inlineStr">
        <is>
          <t>Constraint C9 in the plan: 8 h per won order, sourcing to shipping.</t>
        </is>
      </c>
    </row>
    <row r="35" ht="15" customHeight="1" s="85">
      <c r="B35" s="94" t="inlineStr">
        <is>
          <t>BRL per USD</t>
        </is>
      </c>
      <c r="C35" s="131" t="n">
        <v>5.2</v>
      </c>
      <c r="D35" s="98" t="inlineStr">
        <is>
          <t>The rate implied by the written plan's US$ figures. Check the spot rate before quoting it to anyone.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8FA89B"/>
    <outlinePr summaryBelow="1" summaryRight="1"/>
    <pageSetUpPr fitToPage="0"/>
  </sheetPr>
  <dimension ref="B2:D6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 customWidth="1" style="84" min="1" max="1"/>
    <col width="50" customWidth="1" style="84" min="2" max="2"/>
    <col width="18" customWidth="1" style="84" min="3" max="3"/>
    <col width="98" customWidth="1" style="84" min="4" max="4"/>
  </cols>
  <sheetData>
    <row r="2" ht="17.35" customHeight="1" s="85">
      <c r="B2" s="125" t="inlineStr">
        <is>
          <t>DEAL  —  the arithmetic.  Nothing on this sheet is typed.</t>
        </is>
      </c>
    </row>
    <row r="4" ht="15" customHeight="1" s="85">
      <c r="B4" s="92" t="inlineStr">
        <is>
          <t>COST PER KIT</t>
        </is>
      </c>
      <c r="C4" s="93" t="n"/>
      <c r="D4" s="93" t="n"/>
    </row>
    <row r="5" ht="15" customHeight="1" s="85">
      <c r="B5" s="94" t="inlineStr">
        <is>
          <t>Goods at list price (BOM total)</t>
        </is>
      </c>
      <c r="C5" s="132">
        <f>BOM!$E$22</f>
        <v/>
      </c>
      <c r="D5" s="98" t="inlineStr">
        <is>
          <t>Sum of the priced BOM lines.</t>
        </is>
      </c>
    </row>
    <row r="6" ht="15" customHeight="1" s="85">
      <c r="B6" s="94" t="inlineStr">
        <is>
          <t>less supplier discount</t>
        </is>
      </c>
      <c r="C6" s="132">
        <f>-C5*INPUTS!$C$13</f>
        <v/>
      </c>
    </row>
    <row r="7" ht="15" customHeight="1" s="85">
      <c r="B7" s="110" t="inlineStr">
        <is>
          <t>Goods after discount</t>
        </is>
      </c>
      <c r="C7" s="133">
        <f>C5+C6</f>
        <v/>
      </c>
    </row>
    <row r="8" ht="15" customHeight="1" s="85">
      <c r="B8" s="94" t="inlineStr">
        <is>
          <t>Allowance for unpriced BOM lines</t>
        </is>
      </c>
      <c r="C8" s="132">
        <f>INPUTS!$C$17</f>
        <v/>
      </c>
    </row>
    <row r="9" ht="15" customHeight="1" s="85">
      <c r="B9" s="94" t="inlineStr">
        <is>
          <t>Assembly</t>
        </is>
      </c>
      <c r="C9" s="132">
        <f>IF(INPUTS!$C$5&lt;=INPUTS!$C$20,0,IF(INPUTS!$C$19="","",INPUTS!$C$19))</f>
        <v/>
      </c>
      <c r="D9" s="98" t="inlineStr">
        <is>
          <t>0 when you pack it yourself; the co-packer figure otherwise; blank = unknown.</t>
        </is>
      </c>
    </row>
    <row r="10" ht="15" customHeight="1" s="85">
      <c r="B10" s="94" t="inlineStr">
        <is>
          <t>Freight per kit used</t>
        </is>
      </c>
      <c r="C10" s="132">
        <f>IF(INPUTS!$C$14&lt;&gt;"",INPUTS!$C$14,IF(FREIGHT!$B$8="","",FREIGHT!$B$8))</f>
        <v/>
      </c>
      <c r="D10" s="98" t="inlineStr">
        <is>
          <t>Your override if set, otherwise the measured table for this UF and mode.</t>
        </is>
      </c>
    </row>
    <row r="11" ht="15" customHeight="1" s="85">
      <c r="B11" s="94" t="inlineStr">
        <is>
          <t>Packaging / box / label</t>
        </is>
      </c>
      <c r="C11" s="132">
        <f>INPUTS!$C$18</f>
        <v/>
      </c>
    </row>
    <row r="12" ht="15" customHeight="1" s="85">
      <c r="B12" s="110" t="inlineStr">
        <is>
          <t>TOTAL COST PER KIT</t>
        </is>
      </c>
      <c r="C12" s="133">
        <f>IF(OR(C9="",C10=""),"",C7+C8+C9+C10+C11)</f>
        <v/>
      </c>
      <c r="D12" s="98" t="inlineStr">
        <is>
          <t>Blank means a cost leg is unknown — that is a NO BID, not a zero.</t>
        </is>
      </c>
    </row>
    <row r="14" ht="15" customHeight="1" s="85">
      <c r="B14" s="92" t="inlineStr">
        <is>
          <t>THE LOT</t>
        </is>
      </c>
      <c r="C14" s="93" t="n"/>
      <c r="D14" s="93" t="n"/>
    </row>
    <row r="15" ht="15" customHeight="1" s="85">
      <c r="B15" s="110" t="inlineStr">
        <is>
          <t>Bid price per kit</t>
        </is>
      </c>
      <c r="C15" s="133">
        <f>INPUTS!$C$6*INPUTS!$C$7</f>
        <v/>
      </c>
    </row>
    <row r="16" ht="15" customHeight="1" s="85">
      <c r="B16" s="94" t="inlineStr">
        <is>
          <t>Revenue (lot)</t>
        </is>
      </c>
      <c r="C16" s="134">
        <f>C15*INPUTS!$C$5</f>
        <v/>
      </c>
    </row>
    <row r="17" ht="15" customHeight="1" s="85">
      <c r="B17" s="94" t="inlineStr">
        <is>
          <t>Cost of goods + freight + assembly (lot)</t>
        </is>
      </c>
      <c r="C17" s="134">
        <f>IF(C12="","",C12*INPUTS!$C$5)</f>
        <v/>
      </c>
    </row>
    <row r="18" ht="15" customHeight="1" s="85">
      <c r="B18" s="94" t="inlineStr">
        <is>
          <t>Gross profit (lot)</t>
        </is>
      </c>
      <c r="C18" s="134">
        <f>IF(C17="","",C16-C17)</f>
        <v/>
      </c>
    </row>
    <row r="19" ht="15" customHeight="1" s="85">
      <c r="B19" s="94" t="inlineStr">
        <is>
          <t>Gross margin %</t>
        </is>
      </c>
      <c r="C19" s="135">
        <f>IF(C18="","",IF(C16=0,0,C18/C16))</f>
        <v/>
      </c>
    </row>
    <row r="20" ht="15" customHeight="1" s="85">
      <c r="B20" s="94" t="inlineStr">
        <is>
          <t>Simples Nacional effective rate</t>
        </is>
      </c>
      <c r="C20" s="135">
        <f>IF(INPUTS!$C$23&lt;=0,0.04,IF(INPUTS!$C$23&lt;=180000,0.04,IF(INPUTS!$C$23&lt;=360000,(INPUTS!$C$23*0.073-5940)/INPUTS!$C$23,IF(INPUTS!$C$23&lt;=720000,(INPUTS!$C$23*0.095-13860)/INPUTS!$C$23,IF(INPUTS!$C$23&lt;=1800000,(INPUTS!$C$23*0.107-22500)/INPUTS!$C$23,IF(INPUTS!$C$23&lt;=3600000,(INPUTS!$C$23*0.143-87300)/INPUTS!$C$23,(INPUTS!$C$23*0.19-378000)/INPUTS!$C$23))))))</f>
        <v/>
      </c>
      <c r="D20" s="98" t="inlineStr">
        <is>
          <t>LC 123 Anexo I, alíquota EFETIVA = (RBT12 x nominal - dedução)/RBT12. Cobre as seis faixas até R$4,8M.</t>
        </is>
      </c>
    </row>
    <row r="21" ht="15" customHeight="1" s="85">
      <c r="B21" s="94" t="inlineStr">
        <is>
          <t>Simples tax</t>
        </is>
      </c>
      <c r="C21" s="134">
        <f>C16*C20</f>
        <v/>
      </c>
    </row>
    <row r="22" ht="15" customHeight="1" s="85">
      <c r="B22" s="94" t="inlineStr">
        <is>
          <t>IRRF withheld</t>
        </is>
      </c>
      <c r="C22" s="134">
        <f>C16*INPUTS!$C$24</f>
        <v/>
      </c>
    </row>
    <row r="23" ht="15" customHeight="1" s="85">
      <c r="B23" s="94" t="inlineStr">
        <is>
          <t>Platform fee</t>
        </is>
      </c>
      <c r="C23" s="134">
        <f>MIN(C16*INPUTS!$C$25,INPUTS!$C$26)+INPUTS!$C$27</f>
        <v/>
      </c>
    </row>
    <row r="24" ht="15" customHeight="1" s="85">
      <c r="B24" s="110" t="inlineStr">
        <is>
          <t>NET PROFIT (lot)</t>
        </is>
      </c>
      <c r="C24" s="136">
        <f>IF(C18="","",C18-C21-C22-C23)</f>
        <v/>
      </c>
    </row>
    <row r="25" ht="15" customHeight="1" s="85">
      <c r="B25" s="110" t="inlineStr">
        <is>
          <t>NET MARGIN %</t>
        </is>
      </c>
      <c r="C25" s="137">
        <f>IF(C24="","",IF(C16=0,0,C24/C16))</f>
        <v/>
      </c>
    </row>
    <row r="26" ht="15" customHeight="1" s="85">
      <c r="B26" s="94" t="inlineStr">
        <is>
          <t>Net profit per kit</t>
        </is>
      </c>
      <c r="C26" s="132">
        <f>IF(C24="","",C24/INPUTS!$C$5)</f>
        <v/>
      </c>
    </row>
    <row r="28" ht="15" customHeight="1" s="85">
      <c r="B28" s="92" t="inlineStr">
        <is>
          <t>CASH</t>
        </is>
      </c>
      <c r="C28" s="93" t="n"/>
      <c r="D28" s="93" t="n"/>
    </row>
    <row r="29" ht="15" customHeight="1" s="85">
      <c r="B29" s="94" t="inlineStr">
        <is>
          <t>Cash you must front before the buyer pays</t>
        </is>
      </c>
      <c r="C29" s="134">
        <f>IF(C17="","",C17+INPUTS!$C$27)</f>
        <v/>
      </c>
      <c r="D29" s="98" t="inlineStr">
        <is>
          <t>Goods, freight, assembly and any fixed fee all leave before the empenho pays out.</t>
        </is>
      </c>
    </row>
    <row r="30" ht="15" customHeight="1" s="85">
      <c r="B30" s="94" t="inlineStr">
        <is>
          <t>Days that cash is out</t>
        </is>
      </c>
      <c r="C30" s="138">
        <f>INPUTS!$C$10</f>
        <v/>
      </c>
      <c r="D30" s="98" t="inlineStr">
        <is>
          <t>Conservative: assumes cash leaves on day 0. In practice the supplier is paid nearer day 11, so the true return is higher.</t>
        </is>
      </c>
    </row>
    <row r="31" ht="15" customHeight="1" s="85">
      <c r="B31" s="94" t="inlineStr">
        <is>
          <t>Annualised return on that cash</t>
        </is>
      </c>
      <c r="C31" s="135">
        <f>IF(OR(C24="",C29=""),"",IF(C29=0,0,C24/C29*365/C30))</f>
        <v/>
      </c>
    </row>
    <row r="33" ht="15" customHeight="1" s="85">
      <c r="B33" s="92" t="inlineStr">
        <is>
          <t>WHAT WOULD HAVE TO BE TRUE</t>
        </is>
      </c>
      <c r="C33" s="93" t="n"/>
      <c r="D33" s="93" t="n"/>
    </row>
    <row r="34" ht="15" customHeight="1" s="85">
      <c r="B34" s="94" t="inlineStr">
        <is>
          <t>Break-even price per kit</t>
        </is>
      </c>
      <c r="C34" s="132">
        <f>IF(C12="","",(C12+INPUTS!$C$27/INPUTS!$C$5)/(1-C20-INPUTS!$C$24-INPUTS!$C$25))</f>
        <v/>
      </c>
      <c r="D34" s="98" t="inlineStr">
        <is>
          <t>Ignores the platform fee cap, so it runs slightly conservative.</t>
        </is>
      </c>
    </row>
    <row r="35" ht="15" customHeight="1" s="85">
      <c r="B35" s="94" t="inlineStr">
        <is>
          <t>Price per kit at your target margin</t>
        </is>
      </c>
      <c r="C35" s="132">
        <f>IF(C12="","",(C12+INPUTS!$C$27/INPUTS!$C$5)/(1-C20-INPUTS!$C$24-INPUTS!$C$25-INPUTS!$C$29))</f>
        <v/>
      </c>
    </row>
    <row r="36" ht="15" customHeight="1" s="85">
      <c r="B36" s="94" t="inlineStr">
        <is>
          <t xml:space="preserve">   …as % of the buyer's estimate</t>
        </is>
      </c>
      <c r="C36" s="135">
        <f>IF(C35="","",C35/INPUTS!$C$6)</f>
        <v/>
      </c>
      <c r="D36" s="98" t="inlineStr">
        <is>
          <t>Above ~97% the lot cannot be won at target.</t>
        </is>
      </c>
    </row>
    <row r="37" ht="15" customHeight="1" s="85">
      <c r="B37" s="94" t="inlineStr">
        <is>
          <t>Minimum bid as % of estimate to break even</t>
        </is>
      </c>
      <c r="C37" s="135">
        <f>IF(C34="","",C34/INPUTS!$C$6)</f>
        <v/>
      </c>
    </row>
    <row r="38" ht="15" customHeight="1" s="85">
      <c r="B38" s="94" t="inlineStr">
        <is>
          <t>Max TOTAL cost per kit at your bid, at target</t>
        </is>
      </c>
      <c r="C38" s="132">
        <f>C15*(1-C20-INPUTS!$C$24-INPUTS!$C$25-INPUTS!$C$29)-INPUTS!$C$27/INPUTS!$C$5</f>
        <v/>
      </c>
    </row>
    <row r="39" ht="15" customHeight="1" s="85">
      <c r="B39" s="94" t="inlineStr">
        <is>
          <t>Max GOODS cost per kit at target</t>
        </is>
      </c>
      <c r="C39" s="132">
        <f>IF(OR(C9="",C10=""),"",C38-C8-C9-C10-C11)</f>
        <v/>
      </c>
    </row>
    <row r="40" ht="15" customHeight="1" s="85">
      <c r="B40" s="94" t="inlineStr">
        <is>
          <t>Supplier discount needed to hit target</t>
        </is>
      </c>
      <c r="C40" s="135">
        <f>IF(OR(C39="",C5=0),"",1-C39/C5)</f>
        <v/>
      </c>
      <c r="D40" s="98" t="inlineStr">
        <is>
          <t>The number to take into a wholesaler meeting.</t>
        </is>
      </c>
    </row>
    <row r="41" ht="15" customHeight="1" s="85">
      <c r="B41" s="94" t="inlineStr">
        <is>
          <t>Max TOTAL cost per kit at break-even</t>
        </is>
      </c>
      <c r="C41" s="132">
        <f>C15*(1-C20-INPUTS!$C$24-INPUTS!$C$25)-INPUTS!$C$27/INPUTS!$C$5</f>
        <v/>
      </c>
    </row>
    <row r="42" ht="15" customHeight="1" s="85">
      <c r="B42" s="94" t="inlineStr">
        <is>
          <t>Supplier discount needed to break even</t>
        </is>
      </c>
      <c r="C42" s="135">
        <f>IF(OR(C9="",C10="",C5=0),"",1-(C41-C8-C9-C10-C11)/C5)</f>
        <v/>
      </c>
    </row>
    <row r="43" ht="15" customHeight="1" s="85">
      <c r="B43" s="94" t="inlineStr">
        <is>
          <t>Max freight per kit at target (rest of cost fixed)</t>
        </is>
      </c>
      <c r="C43" s="132">
        <f>IF(C9="","",C38-C7-C8-C9-C11)</f>
        <v/>
      </c>
      <c r="D43" s="98" t="inlineStr">
        <is>
          <t>Negative = no freight price saves this bid.</t>
        </is>
      </c>
    </row>
    <row r="44" ht="15" customHeight="1" s="85">
      <c r="B44" s="94" t="inlineStr">
        <is>
          <t>Max freight per kit at break-even</t>
        </is>
      </c>
      <c r="C44" s="132">
        <f>IF(C9="","",C41-C7-C8-C9-C11)</f>
        <v/>
      </c>
    </row>
    <row r="46" ht="15" customHeight="1" s="85">
      <c r="B46" s="92" t="inlineStr">
        <is>
          <t>WHAT YOU MAKE  —  one lot scaled into a year</t>
        </is>
      </c>
      <c r="C46" s="93" t="n"/>
      <c r="D46" s="93" t="n"/>
    </row>
    <row r="47" ht="15" customHeight="1" s="85">
      <c r="B47" s="94" t="inlineStr">
        <is>
          <t>Net profit per lot</t>
        </is>
      </c>
      <c r="C47" s="134">
        <f>IF(C24="","",C24)</f>
        <v/>
      </c>
    </row>
    <row r="48" ht="15" customHeight="1" s="85">
      <c r="B48" s="94" t="inlineStr">
        <is>
          <t>Your hours per won order</t>
        </is>
      </c>
      <c r="C48" s="138">
        <f>INPUTS!$C$34</f>
        <v/>
      </c>
    </row>
    <row r="49" ht="15" customHeight="1" s="85">
      <c r="B49" s="94" t="inlineStr">
        <is>
          <t>Pay per hour of your own time</t>
        </is>
      </c>
      <c r="C49" s="132">
        <f>IF(OR(C47="",C48=0),"",C47/C48)</f>
        <v/>
      </c>
      <c r="D49" s="98" t="inlineStr">
        <is>
          <t>Compare this against what an hour of your time is worth elsewhere.</t>
        </is>
      </c>
    </row>
    <row r="50" ht="15" customHeight="1" s="85">
      <c r="B50" s="94" t="inlineStr">
        <is>
          <t>Lots like this you plan to win in a year</t>
        </is>
      </c>
      <c r="C50" s="138">
        <f>INPUTS!$C$32</f>
        <v/>
      </c>
      <c r="D50" t="inlineStr">
        <is>
          <t>Set to what the capital actually allows (see check 5), not to a hope.</t>
        </is>
      </c>
    </row>
    <row r="51" ht="15" customHeight="1" s="85">
      <c r="B51" s="94" t="inlineStr">
        <is>
          <t>Net profit from those lots</t>
        </is>
      </c>
      <c r="C51" s="134">
        <f>IF(C47="","",C47*C50)</f>
        <v/>
      </c>
    </row>
    <row r="52" ht="15" customHeight="1" s="85">
      <c r="B52" s="94" t="inlineStr">
        <is>
          <t>less annual fixed costs</t>
        </is>
      </c>
      <c r="C52" s="134">
        <f>-INPUTS!$C$33</f>
        <v/>
      </c>
    </row>
    <row r="53" ht="15" customHeight="1" s="85">
      <c r="B53" s="110" t="inlineStr">
        <is>
          <t>TAKE-HOME, per year</t>
        </is>
      </c>
      <c r="C53" s="136">
        <f>IF(C51="","",C51+C52)</f>
        <v/>
      </c>
    </row>
    <row r="54" ht="15" customHeight="1" s="85">
      <c r="B54" s="110" t="inlineStr">
        <is>
          <t>TAKE-HOME, per month</t>
        </is>
      </c>
      <c r="C54" s="136">
        <f>IF(C53="","",C53/12)</f>
        <v/>
      </c>
    </row>
    <row r="55" ht="15" customHeight="1" s="85">
      <c r="B55" s="94" t="inlineStr">
        <is>
          <t xml:space="preserve">   …in US$ per month</t>
        </is>
      </c>
      <c r="C55" s="139">
        <f>IF(OR(C54="",INPUTS!$C$35=0),"",C54/INPUTS!$C$35)</f>
        <v/>
      </c>
    </row>
    <row r="56" ht="15" customHeight="1" s="85">
      <c r="B56" s="94" t="inlineStr">
        <is>
          <t>Hours a month that takes</t>
        </is>
      </c>
      <c r="C56" s="140">
        <f>C48*C50/12</f>
        <v/>
      </c>
    </row>
    <row r="58" ht="15" customHeight="1" s="85">
      <c r="B58" s="92" t="inlineStr">
        <is>
          <t>CAN YOUR CAPITAL ACTUALLY RUN THAT MANY LOTS?</t>
        </is>
      </c>
      <c r="C58" s="93" t="n"/>
      <c r="D58" s="93" t="n"/>
    </row>
    <row r="59" ht="15" customHeight="1" s="85">
      <c r="B59" s="94" t="inlineStr">
        <is>
          <t>Cash tied up per lot</t>
        </is>
      </c>
      <c r="C59" s="134">
        <f>IF(C29="","",C29)</f>
        <v/>
      </c>
    </row>
    <row r="60" ht="15" customHeight="1" s="85">
      <c r="B60" s="94" t="inlineStr">
        <is>
          <t>Lots you can carry at once</t>
        </is>
      </c>
      <c r="C60" s="140">
        <f>IF(OR(INPUTS!$C$28="",C59="",C59=0),"",INPUTS!$C$28/C59)</f>
        <v/>
      </c>
      <c r="D60" s="98" t="inlineStr">
        <is>
          <t>Capital divided by the cash one lot consumes.</t>
        </is>
      </c>
    </row>
    <row r="61" ht="15" customHeight="1" s="85">
      <c r="B61" s="94" t="inlineStr">
        <is>
          <t>Days each lot ties that cash up</t>
        </is>
      </c>
      <c r="C61" s="138">
        <f>INPUTS!$C$10</f>
        <v/>
      </c>
    </row>
    <row r="62" ht="15" customHeight="1" s="85">
      <c r="B62" s="110" t="inlineStr">
        <is>
          <t>Lots a year your capital allows</t>
        </is>
      </c>
      <c r="C62" s="141">
        <f>IF(OR(C60="",C61=0),"",C60*365/C61)</f>
        <v/>
      </c>
      <c r="D62" s="98" t="inlineStr">
        <is>
          <t>This, not the number of tenders published, is the ceiling on income.</t>
        </is>
      </c>
    </row>
    <row r="63" ht="15" customHeight="1" s="85">
      <c r="B63" s="94" t="inlineStr">
        <is>
          <t>Gap against the year you planned</t>
        </is>
      </c>
      <c r="C63" s="140">
        <f>IF(C62="","",C62-C50)</f>
        <v/>
      </c>
      <c r="D63" s="98" t="inlineStr">
        <is>
          <t>Negative means supplier terms or a credit line is the only way to the planned number.</t>
        </is>
      </c>
    </row>
    <row r="64" ht="15" customHeight="1" s="85">
      <c r="B64" s="94" t="inlineStr">
        <is>
          <t>Revenue your planned year implies</t>
        </is>
      </c>
      <c r="C64" s="134">
        <f>C16*C50</f>
        <v/>
      </c>
      <c r="D64" s="98" t="inlineStr">
        <is>
          <t>Feeds check 9.</t>
        </is>
      </c>
    </row>
    <row r="65" ht="15" customHeight="1" s="85">
      <c r="B65" s="94" t="inlineStr">
        <is>
          <t>Simples rate that revenue implies</t>
        </is>
      </c>
      <c r="C65" s="135">
        <f>IF(C64&lt;=0,0.04,IF(C64&lt;=180000,0.04,IF(C64&lt;=360000,(C64*0.073-5940)/C64,IF(C64&lt;=720000,(C64*0.095-13860)/C64,IF(C64&lt;=1800000,(C64*0.107-22500)/C64,IF(C64&lt;=3600000,(C64*0.143-87300)/C64,(C64*0.19-378000)/C64))))))</f>
        <v/>
      </c>
    </row>
    <row r="66" ht="15" customHeight="1" s="85">
      <c r="B66" s="94" t="inlineStr">
        <is>
          <t>Simples rate you are actually modelling</t>
        </is>
      </c>
      <c r="C66" s="135">
        <f>C20</f>
        <v/>
      </c>
      <c r="D66" s="98" t="inlineStr">
        <is>
          <t>If these two differ, the net margin above is too flattering.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96F4A"/>
    <outlinePr summaryBelow="1" summaryRight="1"/>
    <pageSetUpPr fitToPage="0"/>
  </sheetPr>
  <dimension ref="B2:H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84" min="1" max="1"/>
    <col width="34" customWidth="1" style="84" min="2" max="2"/>
    <col width="17" customWidth="1" style="84" min="3" max="8"/>
  </cols>
  <sheetData>
    <row r="2" ht="17.35" customHeight="1" s="85">
      <c r="B2" s="125" t="inlineStr">
        <is>
          <t>GATES  —  net margin under the two things you do not control</t>
        </is>
      </c>
    </row>
    <row r="3" ht="15" customHeight="1" s="85">
      <c r="B3" s="94" t="inlineStr">
        <is>
          <t>Your target net margin</t>
        </is>
      </c>
      <c r="C3" s="121">
        <f>INPUTS!$C$29</f>
        <v/>
      </c>
      <c r="D3" s="98" t="inlineStr">
        <is>
          <t>Green = clears your target.   Amber = makes money but misses it.   Red = loses money.</t>
        </is>
      </c>
    </row>
    <row r="5" ht="15" customHeight="1" s="85">
      <c r="B5" s="92" t="inlineStr">
        <is>
          <t>GRID A  —  supplier discount  ×  freight per kit   (at your current bid level)</t>
        </is>
      </c>
      <c r="C5" s="93" t="n"/>
      <c r="D5" s="93" t="n"/>
      <c r="E5" s="93" t="n"/>
      <c r="F5" s="93" t="n"/>
      <c r="G5" s="93" t="n"/>
      <c r="H5" s="93" t="n"/>
    </row>
    <row r="6" ht="30" customHeight="1" s="85">
      <c r="B6" s="142" t="inlineStr">
        <is>
          <t>discount off list  ↓      freight per kit  →</t>
        </is>
      </c>
      <c r="C6" s="143">
        <f>"YOUR "&amp;INPUTS!$C$8&amp;" "&amp;INPUTS!$C$9</f>
        <v/>
      </c>
      <c r="D6" s="143">
        <f>"LTL SP→CE"</f>
        <v/>
      </c>
      <c r="E6" s="143">
        <f>"PAC to BA"</f>
        <v/>
      </c>
      <c r="F6" s="143">
        <f>"PAC to CE/PE/PA"</f>
        <v/>
      </c>
      <c r="G6" s="143">
        <f>"PAC to MA/SE/RN"</f>
        <v/>
      </c>
      <c r="H6" s="143">
        <f>"Zero freight (reference)"</f>
        <v/>
      </c>
    </row>
    <row r="7" ht="15" customHeight="1" s="85">
      <c r="C7" s="144">
        <f>DEAL!$C$10</f>
        <v/>
      </c>
      <c r="D7" s="145" t="n">
        <v>53.99</v>
      </c>
      <c r="E7" s="145" t="n">
        <v>132.9</v>
      </c>
      <c r="F7" s="145" t="n">
        <v>152.6</v>
      </c>
      <c r="G7" s="145" t="n">
        <v>188.4</v>
      </c>
      <c r="H7" s="145" t="n">
        <v>0</v>
      </c>
    </row>
    <row r="8" ht="15" customHeight="1" s="85">
      <c r="B8" s="146" t="n">
        <v>0</v>
      </c>
      <c r="C8" s="147">
        <f>IF(OR(DEAL!$C$9="",C$7=""),"",1-((BOM!$E$22*(1-$B8)+INPUTS!$C$17+DEAL!$C$9+C$7+INPUTS!$C$18)+INPUTS!$C$27/INPUTS!$C$5)/DEAL!$C$15-DEAL!$C$20-INPUTS!$C$24-INPUTS!$C$25)</f>
        <v/>
      </c>
      <c r="D8" s="147">
        <f>IF(OR(DEAL!$C$9="",D$7=""),"",1-((BOM!$E$22*(1-$B8)+INPUTS!$C$17+DEAL!$C$9+D$7+INPUTS!$C$18)+INPUTS!$C$27/INPUTS!$C$5)/DEAL!$C$15-DEAL!$C$20-INPUTS!$C$24-INPUTS!$C$25)</f>
        <v/>
      </c>
      <c r="E8" s="147">
        <f>IF(OR(DEAL!$C$9="",E$7=""),"",1-((BOM!$E$22*(1-$B8)+INPUTS!$C$17+DEAL!$C$9+E$7+INPUTS!$C$18)+INPUTS!$C$27/INPUTS!$C$5)/DEAL!$C$15-DEAL!$C$20-INPUTS!$C$24-INPUTS!$C$25)</f>
        <v/>
      </c>
      <c r="F8" s="147">
        <f>IF(OR(DEAL!$C$9="",F$7=""),"",1-((BOM!$E$22*(1-$B8)+INPUTS!$C$17+DEAL!$C$9+F$7+INPUTS!$C$18)+INPUTS!$C$27/INPUTS!$C$5)/DEAL!$C$15-DEAL!$C$20-INPUTS!$C$24-INPUTS!$C$25)</f>
        <v/>
      </c>
      <c r="G8" s="147">
        <f>IF(OR(DEAL!$C$9="",G$7=""),"",1-((BOM!$E$22*(1-$B8)+INPUTS!$C$17+DEAL!$C$9+G$7+INPUTS!$C$18)+INPUTS!$C$27/INPUTS!$C$5)/DEAL!$C$15-DEAL!$C$20-INPUTS!$C$24-INPUTS!$C$25)</f>
        <v/>
      </c>
      <c r="H8" s="147">
        <f>IF(OR(DEAL!$C$9="",H$7=""),"",1-((BOM!$E$22*(1-$B8)+INPUTS!$C$17+DEAL!$C$9+H$7+INPUTS!$C$18)+INPUTS!$C$27/INPUTS!$C$5)/DEAL!$C$15-DEAL!$C$20-INPUTS!$C$24-INPUTS!$C$25)</f>
        <v/>
      </c>
    </row>
    <row r="9" ht="15" customHeight="1" s="85">
      <c r="B9" s="146" t="n">
        <v>0.05</v>
      </c>
      <c r="C9" s="147">
        <f>IF(OR(DEAL!$C$9="",C$7=""),"",1-((BOM!$E$22*(1-$B9)+INPUTS!$C$17+DEAL!$C$9+C$7+INPUTS!$C$18)+INPUTS!$C$27/INPUTS!$C$5)/DEAL!$C$15-DEAL!$C$20-INPUTS!$C$24-INPUTS!$C$25)</f>
        <v/>
      </c>
      <c r="D9" s="147">
        <f>IF(OR(DEAL!$C$9="",D$7=""),"",1-((BOM!$E$22*(1-$B9)+INPUTS!$C$17+DEAL!$C$9+D$7+INPUTS!$C$18)+INPUTS!$C$27/INPUTS!$C$5)/DEAL!$C$15-DEAL!$C$20-INPUTS!$C$24-INPUTS!$C$25)</f>
        <v/>
      </c>
      <c r="E9" s="147">
        <f>IF(OR(DEAL!$C$9="",E$7=""),"",1-((BOM!$E$22*(1-$B9)+INPUTS!$C$17+DEAL!$C$9+E$7+INPUTS!$C$18)+INPUTS!$C$27/INPUTS!$C$5)/DEAL!$C$15-DEAL!$C$20-INPUTS!$C$24-INPUTS!$C$25)</f>
        <v/>
      </c>
      <c r="F9" s="147">
        <f>IF(OR(DEAL!$C$9="",F$7=""),"",1-((BOM!$E$22*(1-$B9)+INPUTS!$C$17+DEAL!$C$9+F$7+INPUTS!$C$18)+INPUTS!$C$27/INPUTS!$C$5)/DEAL!$C$15-DEAL!$C$20-INPUTS!$C$24-INPUTS!$C$25)</f>
        <v/>
      </c>
      <c r="G9" s="147">
        <f>IF(OR(DEAL!$C$9="",G$7=""),"",1-((BOM!$E$22*(1-$B9)+INPUTS!$C$17+DEAL!$C$9+G$7+INPUTS!$C$18)+INPUTS!$C$27/INPUTS!$C$5)/DEAL!$C$15-DEAL!$C$20-INPUTS!$C$24-INPUTS!$C$25)</f>
        <v/>
      </c>
      <c r="H9" s="147">
        <f>IF(OR(DEAL!$C$9="",H$7=""),"",1-((BOM!$E$22*(1-$B9)+INPUTS!$C$17+DEAL!$C$9+H$7+INPUTS!$C$18)+INPUTS!$C$27/INPUTS!$C$5)/DEAL!$C$15-DEAL!$C$20-INPUTS!$C$24-INPUTS!$C$25)</f>
        <v/>
      </c>
    </row>
    <row r="10" ht="15" customHeight="1" s="85">
      <c r="B10" s="146" t="n">
        <v>0.1</v>
      </c>
      <c r="C10" s="147">
        <f>IF(OR(DEAL!$C$9="",C$7=""),"",1-((BOM!$E$22*(1-$B10)+INPUTS!$C$17+DEAL!$C$9+C$7+INPUTS!$C$18)+INPUTS!$C$27/INPUTS!$C$5)/DEAL!$C$15-DEAL!$C$20-INPUTS!$C$24-INPUTS!$C$25)</f>
        <v/>
      </c>
      <c r="D10" s="147">
        <f>IF(OR(DEAL!$C$9="",D$7=""),"",1-((BOM!$E$22*(1-$B10)+INPUTS!$C$17+DEAL!$C$9+D$7+INPUTS!$C$18)+INPUTS!$C$27/INPUTS!$C$5)/DEAL!$C$15-DEAL!$C$20-INPUTS!$C$24-INPUTS!$C$25)</f>
        <v/>
      </c>
      <c r="E10" s="147">
        <f>IF(OR(DEAL!$C$9="",E$7=""),"",1-((BOM!$E$22*(1-$B10)+INPUTS!$C$17+DEAL!$C$9+E$7+INPUTS!$C$18)+INPUTS!$C$27/INPUTS!$C$5)/DEAL!$C$15-DEAL!$C$20-INPUTS!$C$24-INPUTS!$C$25)</f>
        <v/>
      </c>
      <c r="F10" s="147">
        <f>IF(OR(DEAL!$C$9="",F$7=""),"",1-((BOM!$E$22*(1-$B10)+INPUTS!$C$17+DEAL!$C$9+F$7+INPUTS!$C$18)+INPUTS!$C$27/INPUTS!$C$5)/DEAL!$C$15-DEAL!$C$20-INPUTS!$C$24-INPUTS!$C$25)</f>
        <v/>
      </c>
      <c r="G10" s="147">
        <f>IF(OR(DEAL!$C$9="",G$7=""),"",1-((BOM!$E$22*(1-$B10)+INPUTS!$C$17+DEAL!$C$9+G$7+INPUTS!$C$18)+INPUTS!$C$27/INPUTS!$C$5)/DEAL!$C$15-DEAL!$C$20-INPUTS!$C$24-INPUTS!$C$25)</f>
        <v/>
      </c>
      <c r="H10" s="147">
        <f>IF(OR(DEAL!$C$9="",H$7=""),"",1-((BOM!$E$22*(1-$B10)+INPUTS!$C$17+DEAL!$C$9+H$7+INPUTS!$C$18)+INPUTS!$C$27/INPUTS!$C$5)/DEAL!$C$15-DEAL!$C$20-INPUTS!$C$24-INPUTS!$C$25)</f>
        <v/>
      </c>
    </row>
    <row r="11" ht="15" customHeight="1" s="85">
      <c r="B11" s="146" t="n">
        <v>0.15</v>
      </c>
      <c r="C11" s="147">
        <f>IF(OR(DEAL!$C$9="",C$7=""),"",1-((BOM!$E$22*(1-$B11)+INPUTS!$C$17+DEAL!$C$9+C$7+INPUTS!$C$18)+INPUTS!$C$27/INPUTS!$C$5)/DEAL!$C$15-DEAL!$C$20-INPUTS!$C$24-INPUTS!$C$25)</f>
        <v/>
      </c>
      <c r="D11" s="147">
        <f>IF(OR(DEAL!$C$9="",D$7=""),"",1-((BOM!$E$22*(1-$B11)+INPUTS!$C$17+DEAL!$C$9+D$7+INPUTS!$C$18)+INPUTS!$C$27/INPUTS!$C$5)/DEAL!$C$15-DEAL!$C$20-INPUTS!$C$24-INPUTS!$C$25)</f>
        <v/>
      </c>
      <c r="E11" s="147">
        <f>IF(OR(DEAL!$C$9="",E$7=""),"",1-((BOM!$E$22*(1-$B11)+INPUTS!$C$17+DEAL!$C$9+E$7+INPUTS!$C$18)+INPUTS!$C$27/INPUTS!$C$5)/DEAL!$C$15-DEAL!$C$20-INPUTS!$C$24-INPUTS!$C$25)</f>
        <v/>
      </c>
      <c r="F11" s="147">
        <f>IF(OR(DEAL!$C$9="",F$7=""),"",1-((BOM!$E$22*(1-$B11)+INPUTS!$C$17+DEAL!$C$9+F$7+INPUTS!$C$18)+INPUTS!$C$27/INPUTS!$C$5)/DEAL!$C$15-DEAL!$C$20-INPUTS!$C$24-INPUTS!$C$25)</f>
        <v/>
      </c>
      <c r="G11" s="147">
        <f>IF(OR(DEAL!$C$9="",G$7=""),"",1-((BOM!$E$22*(1-$B11)+INPUTS!$C$17+DEAL!$C$9+G$7+INPUTS!$C$18)+INPUTS!$C$27/INPUTS!$C$5)/DEAL!$C$15-DEAL!$C$20-INPUTS!$C$24-INPUTS!$C$25)</f>
        <v/>
      </c>
      <c r="H11" s="147">
        <f>IF(OR(DEAL!$C$9="",H$7=""),"",1-((BOM!$E$22*(1-$B11)+INPUTS!$C$17+DEAL!$C$9+H$7+INPUTS!$C$18)+INPUTS!$C$27/INPUTS!$C$5)/DEAL!$C$15-DEAL!$C$20-INPUTS!$C$24-INPUTS!$C$25)</f>
        <v/>
      </c>
    </row>
    <row r="12" ht="15" customHeight="1" s="85">
      <c r="B12" s="146" t="n">
        <v>0.2</v>
      </c>
      <c r="C12" s="147">
        <f>IF(OR(DEAL!$C$9="",C$7=""),"",1-((BOM!$E$22*(1-$B12)+INPUTS!$C$17+DEAL!$C$9+C$7+INPUTS!$C$18)+INPUTS!$C$27/INPUTS!$C$5)/DEAL!$C$15-DEAL!$C$20-INPUTS!$C$24-INPUTS!$C$25)</f>
        <v/>
      </c>
      <c r="D12" s="147">
        <f>IF(OR(DEAL!$C$9="",D$7=""),"",1-((BOM!$E$22*(1-$B12)+INPUTS!$C$17+DEAL!$C$9+D$7+INPUTS!$C$18)+INPUTS!$C$27/INPUTS!$C$5)/DEAL!$C$15-DEAL!$C$20-INPUTS!$C$24-INPUTS!$C$25)</f>
        <v/>
      </c>
      <c r="E12" s="147">
        <f>IF(OR(DEAL!$C$9="",E$7=""),"",1-((BOM!$E$22*(1-$B12)+INPUTS!$C$17+DEAL!$C$9+E$7+INPUTS!$C$18)+INPUTS!$C$27/INPUTS!$C$5)/DEAL!$C$15-DEAL!$C$20-INPUTS!$C$24-INPUTS!$C$25)</f>
        <v/>
      </c>
      <c r="F12" s="147">
        <f>IF(OR(DEAL!$C$9="",F$7=""),"",1-((BOM!$E$22*(1-$B12)+INPUTS!$C$17+DEAL!$C$9+F$7+INPUTS!$C$18)+INPUTS!$C$27/INPUTS!$C$5)/DEAL!$C$15-DEAL!$C$20-INPUTS!$C$24-INPUTS!$C$25)</f>
        <v/>
      </c>
      <c r="G12" s="147">
        <f>IF(OR(DEAL!$C$9="",G$7=""),"",1-((BOM!$E$22*(1-$B12)+INPUTS!$C$17+DEAL!$C$9+G$7+INPUTS!$C$18)+INPUTS!$C$27/INPUTS!$C$5)/DEAL!$C$15-DEAL!$C$20-INPUTS!$C$24-INPUTS!$C$25)</f>
        <v/>
      </c>
      <c r="H12" s="147">
        <f>IF(OR(DEAL!$C$9="",H$7=""),"",1-((BOM!$E$22*(1-$B12)+INPUTS!$C$17+DEAL!$C$9+H$7+INPUTS!$C$18)+INPUTS!$C$27/INPUTS!$C$5)/DEAL!$C$15-DEAL!$C$20-INPUTS!$C$24-INPUTS!$C$25)</f>
        <v/>
      </c>
    </row>
    <row r="13" ht="15" customHeight="1" s="85">
      <c r="B13" s="146" t="n">
        <v>0.25</v>
      </c>
      <c r="C13" s="147">
        <f>IF(OR(DEAL!$C$9="",C$7=""),"",1-((BOM!$E$22*(1-$B13)+INPUTS!$C$17+DEAL!$C$9+C$7+INPUTS!$C$18)+INPUTS!$C$27/INPUTS!$C$5)/DEAL!$C$15-DEAL!$C$20-INPUTS!$C$24-INPUTS!$C$25)</f>
        <v/>
      </c>
      <c r="D13" s="147">
        <f>IF(OR(DEAL!$C$9="",D$7=""),"",1-((BOM!$E$22*(1-$B13)+INPUTS!$C$17+DEAL!$C$9+D$7+INPUTS!$C$18)+INPUTS!$C$27/INPUTS!$C$5)/DEAL!$C$15-DEAL!$C$20-INPUTS!$C$24-INPUTS!$C$25)</f>
        <v/>
      </c>
      <c r="E13" s="147">
        <f>IF(OR(DEAL!$C$9="",E$7=""),"",1-((BOM!$E$22*(1-$B13)+INPUTS!$C$17+DEAL!$C$9+E$7+INPUTS!$C$18)+INPUTS!$C$27/INPUTS!$C$5)/DEAL!$C$15-DEAL!$C$20-INPUTS!$C$24-INPUTS!$C$25)</f>
        <v/>
      </c>
      <c r="F13" s="147">
        <f>IF(OR(DEAL!$C$9="",F$7=""),"",1-((BOM!$E$22*(1-$B13)+INPUTS!$C$17+DEAL!$C$9+F$7+INPUTS!$C$18)+INPUTS!$C$27/INPUTS!$C$5)/DEAL!$C$15-DEAL!$C$20-INPUTS!$C$24-INPUTS!$C$25)</f>
        <v/>
      </c>
      <c r="G13" s="147">
        <f>IF(OR(DEAL!$C$9="",G$7=""),"",1-((BOM!$E$22*(1-$B13)+INPUTS!$C$17+DEAL!$C$9+G$7+INPUTS!$C$18)+INPUTS!$C$27/INPUTS!$C$5)/DEAL!$C$15-DEAL!$C$20-INPUTS!$C$24-INPUTS!$C$25)</f>
        <v/>
      </c>
      <c r="H13" s="147">
        <f>IF(OR(DEAL!$C$9="",H$7=""),"",1-((BOM!$E$22*(1-$B13)+INPUTS!$C$17+DEAL!$C$9+H$7+INPUTS!$C$18)+INPUTS!$C$27/INPUTS!$C$5)/DEAL!$C$15-DEAL!$C$20-INPUTS!$C$24-INPUTS!$C$25)</f>
        <v/>
      </c>
    </row>
    <row r="14" ht="15" customHeight="1" s="85">
      <c r="B14" s="146" t="n">
        <v>0.3</v>
      </c>
      <c r="C14" s="147">
        <f>IF(OR(DEAL!$C$9="",C$7=""),"",1-((BOM!$E$22*(1-$B14)+INPUTS!$C$17+DEAL!$C$9+C$7+INPUTS!$C$18)+INPUTS!$C$27/INPUTS!$C$5)/DEAL!$C$15-DEAL!$C$20-INPUTS!$C$24-INPUTS!$C$25)</f>
        <v/>
      </c>
      <c r="D14" s="147">
        <f>IF(OR(DEAL!$C$9="",D$7=""),"",1-((BOM!$E$22*(1-$B14)+INPUTS!$C$17+DEAL!$C$9+D$7+INPUTS!$C$18)+INPUTS!$C$27/INPUTS!$C$5)/DEAL!$C$15-DEAL!$C$20-INPUTS!$C$24-INPUTS!$C$25)</f>
        <v/>
      </c>
      <c r="E14" s="147">
        <f>IF(OR(DEAL!$C$9="",E$7=""),"",1-((BOM!$E$22*(1-$B14)+INPUTS!$C$17+DEAL!$C$9+E$7+INPUTS!$C$18)+INPUTS!$C$27/INPUTS!$C$5)/DEAL!$C$15-DEAL!$C$20-INPUTS!$C$24-INPUTS!$C$25)</f>
        <v/>
      </c>
      <c r="F14" s="147">
        <f>IF(OR(DEAL!$C$9="",F$7=""),"",1-((BOM!$E$22*(1-$B14)+INPUTS!$C$17+DEAL!$C$9+F$7+INPUTS!$C$18)+INPUTS!$C$27/INPUTS!$C$5)/DEAL!$C$15-DEAL!$C$20-INPUTS!$C$24-INPUTS!$C$25)</f>
        <v/>
      </c>
      <c r="G14" s="147">
        <f>IF(OR(DEAL!$C$9="",G$7=""),"",1-((BOM!$E$22*(1-$B14)+INPUTS!$C$17+DEAL!$C$9+G$7+INPUTS!$C$18)+INPUTS!$C$27/INPUTS!$C$5)/DEAL!$C$15-DEAL!$C$20-INPUTS!$C$24-INPUTS!$C$25)</f>
        <v/>
      </c>
      <c r="H14" s="147">
        <f>IF(OR(DEAL!$C$9="",H$7=""),"",1-((BOM!$E$22*(1-$B14)+INPUTS!$C$17+DEAL!$C$9+H$7+INPUTS!$C$18)+INPUTS!$C$27/INPUTS!$C$5)/DEAL!$C$15-DEAL!$C$20-INPUTS!$C$24-INPUTS!$C$25)</f>
        <v/>
      </c>
    </row>
    <row r="15" ht="15" customHeight="1" s="85">
      <c r="B15" s="146" t="n">
        <v>0.35</v>
      </c>
      <c r="C15" s="147">
        <f>IF(OR(DEAL!$C$9="",C$7=""),"",1-((BOM!$E$22*(1-$B15)+INPUTS!$C$17+DEAL!$C$9+C$7+INPUTS!$C$18)+INPUTS!$C$27/INPUTS!$C$5)/DEAL!$C$15-DEAL!$C$20-INPUTS!$C$24-INPUTS!$C$25)</f>
        <v/>
      </c>
      <c r="D15" s="147">
        <f>IF(OR(DEAL!$C$9="",D$7=""),"",1-((BOM!$E$22*(1-$B15)+INPUTS!$C$17+DEAL!$C$9+D$7+INPUTS!$C$18)+INPUTS!$C$27/INPUTS!$C$5)/DEAL!$C$15-DEAL!$C$20-INPUTS!$C$24-INPUTS!$C$25)</f>
        <v/>
      </c>
      <c r="E15" s="147">
        <f>IF(OR(DEAL!$C$9="",E$7=""),"",1-((BOM!$E$22*(1-$B15)+INPUTS!$C$17+DEAL!$C$9+E$7+INPUTS!$C$18)+INPUTS!$C$27/INPUTS!$C$5)/DEAL!$C$15-DEAL!$C$20-INPUTS!$C$24-INPUTS!$C$25)</f>
        <v/>
      </c>
      <c r="F15" s="147">
        <f>IF(OR(DEAL!$C$9="",F$7=""),"",1-((BOM!$E$22*(1-$B15)+INPUTS!$C$17+DEAL!$C$9+F$7+INPUTS!$C$18)+INPUTS!$C$27/INPUTS!$C$5)/DEAL!$C$15-DEAL!$C$20-INPUTS!$C$24-INPUTS!$C$25)</f>
        <v/>
      </c>
      <c r="G15" s="147">
        <f>IF(OR(DEAL!$C$9="",G$7=""),"",1-((BOM!$E$22*(1-$B15)+INPUTS!$C$17+DEAL!$C$9+G$7+INPUTS!$C$18)+INPUTS!$C$27/INPUTS!$C$5)/DEAL!$C$15-DEAL!$C$20-INPUTS!$C$24-INPUTS!$C$25)</f>
        <v/>
      </c>
      <c r="H15" s="147">
        <f>IF(OR(DEAL!$C$9="",H$7=""),"",1-((BOM!$E$22*(1-$B15)+INPUTS!$C$17+DEAL!$C$9+H$7+INPUTS!$C$18)+INPUTS!$C$27/INPUTS!$C$5)/DEAL!$C$15-DEAL!$C$20-INPUTS!$C$24-INPUTS!$C$25)</f>
        <v/>
      </c>
    </row>
    <row r="16" ht="15" customHeight="1" s="85">
      <c r="B16" s="146" t="n">
        <v>0.4</v>
      </c>
      <c r="C16" s="147">
        <f>IF(OR(DEAL!$C$9="",C$7=""),"",1-((BOM!$E$22*(1-$B16)+INPUTS!$C$17+DEAL!$C$9+C$7+INPUTS!$C$18)+INPUTS!$C$27/INPUTS!$C$5)/DEAL!$C$15-DEAL!$C$20-INPUTS!$C$24-INPUTS!$C$25)</f>
        <v/>
      </c>
      <c r="D16" s="147">
        <f>IF(OR(DEAL!$C$9="",D$7=""),"",1-((BOM!$E$22*(1-$B16)+INPUTS!$C$17+DEAL!$C$9+D$7+INPUTS!$C$18)+INPUTS!$C$27/INPUTS!$C$5)/DEAL!$C$15-DEAL!$C$20-INPUTS!$C$24-INPUTS!$C$25)</f>
        <v/>
      </c>
      <c r="E16" s="147">
        <f>IF(OR(DEAL!$C$9="",E$7=""),"",1-((BOM!$E$22*(1-$B16)+INPUTS!$C$17+DEAL!$C$9+E$7+INPUTS!$C$18)+INPUTS!$C$27/INPUTS!$C$5)/DEAL!$C$15-DEAL!$C$20-INPUTS!$C$24-INPUTS!$C$25)</f>
        <v/>
      </c>
      <c r="F16" s="147">
        <f>IF(OR(DEAL!$C$9="",F$7=""),"",1-((BOM!$E$22*(1-$B16)+INPUTS!$C$17+DEAL!$C$9+F$7+INPUTS!$C$18)+INPUTS!$C$27/INPUTS!$C$5)/DEAL!$C$15-DEAL!$C$20-INPUTS!$C$24-INPUTS!$C$25)</f>
        <v/>
      </c>
      <c r="G16" s="147">
        <f>IF(OR(DEAL!$C$9="",G$7=""),"",1-((BOM!$E$22*(1-$B16)+INPUTS!$C$17+DEAL!$C$9+G$7+INPUTS!$C$18)+INPUTS!$C$27/INPUTS!$C$5)/DEAL!$C$15-DEAL!$C$20-INPUTS!$C$24-INPUTS!$C$25)</f>
        <v/>
      </c>
      <c r="H16" s="147">
        <f>IF(OR(DEAL!$C$9="",H$7=""),"",1-((BOM!$E$22*(1-$B16)+INPUTS!$C$17+DEAL!$C$9+H$7+INPUTS!$C$18)+INPUTS!$C$27/INPUTS!$C$5)/DEAL!$C$15-DEAL!$C$20-INPUTS!$C$24-INPUTS!$C$25)</f>
        <v/>
      </c>
    </row>
    <row r="17" ht="15" customHeight="1" s="85">
      <c r="B17" s="146" t="n">
        <v>0.45</v>
      </c>
      <c r="C17" s="147">
        <f>IF(OR(DEAL!$C$9="",C$7=""),"",1-((BOM!$E$22*(1-$B17)+INPUTS!$C$17+DEAL!$C$9+C$7+INPUTS!$C$18)+INPUTS!$C$27/INPUTS!$C$5)/DEAL!$C$15-DEAL!$C$20-INPUTS!$C$24-INPUTS!$C$25)</f>
        <v/>
      </c>
      <c r="D17" s="147">
        <f>IF(OR(DEAL!$C$9="",D$7=""),"",1-((BOM!$E$22*(1-$B17)+INPUTS!$C$17+DEAL!$C$9+D$7+INPUTS!$C$18)+INPUTS!$C$27/INPUTS!$C$5)/DEAL!$C$15-DEAL!$C$20-INPUTS!$C$24-INPUTS!$C$25)</f>
        <v/>
      </c>
      <c r="E17" s="147">
        <f>IF(OR(DEAL!$C$9="",E$7=""),"",1-((BOM!$E$22*(1-$B17)+INPUTS!$C$17+DEAL!$C$9+E$7+INPUTS!$C$18)+INPUTS!$C$27/INPUTS!$C$5)/DEAL!$C$15-DEAL!$C$20-INPUTS!$C$24-INPUTS!$C$25)</f>
        <v/>
      </c>
      <c r="F17" s="147">
        <f>IF(OR(DEAL!$C$9="",F$7=""),"",1-((BOM!$E$22*(1-$B17)+INPUTS!$C$17+DEAL!$C$9+F$7+INPUTS!$C$18)+INPUTS!$C$27/INPUTS!$C$5)/DEAL!$C$15-DEAL!$C$20-INPUTS!$C$24-INPUTS!$C$25)</f>
        <v/>
      </c>
      <c r="G17" s="147">
        <f>IF(OR(DEAL!$C$9="",G$7=""),"",1-((BOM!$E$22*(1-$B17)+INPUTS!$C$17+DEAL!$C$9+G$7+INPUTS!$C$18)+INPUTS!$C$27/INPUTS!$C$5)/DEAL!$C$15-DEAL!$C$20-INPUTS!$C$24-INPUTS!$C$25)</f>
        <v/>
      </c>
      <c r="H17" s="147">
        <f>IF(OR(DEAL!$C$9="",H$7=""),"",1-((BOM!$E$22*(1-$B17)+INPUTS!$C$17+DEAL!$C$9+H$7+INPUTS!$C$18)+INPUTS!$C$27/INPUTS!$C$5)/DEAL!$C$15-DEAL!$C$20-INPUTS!$C$24-INPUTS!$C$25)</f>
        <v/>
      </c>
    </row>
    <row r="18" ht="15" customHeight="1" s="85">
      <c r="B18" s="146" t="n">
        <v>0.5</v>
      </c>
      <c r="C18" s="147">
        <f>IF(OR(DEAL!$C$9="",C$7=""),"",1-((BOM!$E$22*(1-$B18)+INPUTS!$C$17+DEAL!$C$9+C$7+INPUTS!$C$18)+INPUTS!$C$27/INPUTS!$C$5)/DEAL!$C$15-DEAL!$C$20-INPUTS!$C$24-INPUTS!$C$25)</f>
        <v/>
      </c>
      <c r="D18" s="147">
        <f>IF(OR(DEAL!$C$9="",D$7=""),"",1-((BOM!$E$22*(1-$B18)+INPUTS!$C$17+DEAL!$C$9+D$7+INPUTS!$C$18)+INPUTS!$C$27/INPUTS!$C$5)/DEAL!$C$15-DEAL!$C$20-INPUTS!$C$24-INPUTS!$C$25)</f>
        <v/>
      </c>
      <c r="E18" s="147">
        <f>IF(OR(DEAL!$C$9="",E$7=""),"",1-((BOM!$E$22*(1-$B18)+INPUTS!$C$17+DEAL!$C$9+E$7+INPUTS!$C$18)+INPUTS!$C$27/INPUTS!$C$5)/DEAL!$C$15-DEAL!$C$20-INPUTS!$C$24-INPUTS!$C$25)</f>
        <v/>
      </c>
      <c r="F18" s="147">
        <f>IF(OR(DEAL!$C$9="",F$7=""),"",1-((BOM!$E$22*(1-$B18)+INPUTS!$C$17+DEAL!$C$9+F$7+INPUTS!$C$18)+INPUTS!$C$27/INPUTS!$C$5)/DEAL!$C$15-DEAL!$C$20-INPUTS!$C$24-INPUTS!$C$25)</f>
        <v/>
      </c>
      <c r="G18" s="147">
        <f>IF(OR(DEAL!$C$9="",G$7=""),"",1-((BOM!$E$22*(1-$B18)+INPUTS!$C$17+DEAL!$C$9+G$7+INPUTS!$C$18)+INPUTS!$C$27/INPUTS!$C$5)/DEAL!$C$15-DEAL!$C$20-INPUTS!$C$24-INPUTS!$C$25)</f>
        <v/>
      </c>
      <c r="H18" s="147">
        <f>IF(OR(DEAL!$C$9="",H$7=""),"",1-((BOM!$E$22*(1-$B18)+INPUTS!$C$17+DEAL!$C$9+H$7+INPUTS!$C$18)+INPUTS!$C$27/INPUTS!$C$5)/DEAL!$C$15-DEAL!$C$20-INPUTS!$C$24-INPUTS!$C$25)</f>
        <v/>
      </c>
    </row>
    <row r="20" ht="15" customHeight="1" s="85">
      <c r="B20" s="92" t="inlineStr">
        <is>
          <t>GRID B  —  bid as % of estimate  ×  supplier discount   (at YOUR freight)</t>
        </is>
      </c>
      <c r="C20" s="93" t="n"/>
      <c r="D20" s="93" t="n"/>
      <c r="E20" s="93" t="n"/>
      <c r="F20" s="93" t="n"/>
      <c r="G20" s="93" t="n"/>
      <c r="H20" s="93" t="n"/>
    </row>
    <row r="21" ht="15" customHeight="1" s="85">
      <c r="B21" s="142" t="inlineStr">
        <is>
          <t>bid % of estimate  ↓      discount off list  →</t>
        </is>
      </c>
    </row>
    <row r="22" ht="15" customHeight="1" s="85">
      <c r="C22" s="148" t="n">
        <v>0</v>
      </c>
      <c r="D22" s="148" t="n">
        <v>0.1</v>
      </c>
      <c r="E22" s="148" t="n">
        <v>0.2</v>
      </c>
      <c r="F22" s="148" t="n">
        <v>0.3</v>
      </c>
      <c r="G22" s="148" t="n">
        <v>0.4</v>
      </c>
      <c r="H22" s="148" t="n">
        <v>0.45</v>
      </c>
    </row>
    <row r="23" ht="15" customHeight="1" s="85">
      <c r="B23" s="146" t="n">
        <v>0.6</v>
      </c>
      <c r="C23" s="147">
        <f>IF(OR(DEAL!$C$9="",DEAL!$C$10=""),"",1-((BOM!$E$22*(1-C$22)+INPUTS!$C$17+DEAL!$C$9+DEAL!$C$10+INPUTS!$C$18)+INPUTS!$C$27/INPUTS!$C$5)/(INPUTS!$C$6*$B23)-DEAL!$C$20-INPUTS!$C$24-INPUTS!$C$25)</f>
        <v/>
      </c>
      <c r="D23" s="147">
        <f>IF(OR(DEAL!$C$9="",DEAL!$C$10=""),"",1-((BOM!$E$22*(1-D$22)+INPUTS!$C$17+DEAL!$C$9+DEAL!$C$10+INPUTS!$C$18)+INPUTS!$C$27/INPUTS!$C$5)/(INPUTS!$C$6*$B23)-DEAL!$C$20-INPUTS!$C$24-INPUTS!$C$25)</f>
        <v/>
      </c>
      <c r="E23" s="147">
        <f>IF(OR(DEAL!$C$9="",DEAL!$C$10=""),"",1-((BOM!$E$22*(1-E$22)+INPUTS!$C$17+DEAL!$C$9+DEAL!$C$10+INPUTS!$C$18)+INPUTS!$C$27/INPUTS!$C$5)/(INPUTS!$C$6*$B23)-DEAL!$C$20-INPUTS!$C$24-INPUTS!$C$25)</f>
        <v/>
      </c>
      <c r="F23" s="147">
        <f>IF(OR(DEAL!$C$9="",DEAL!$C$10=""),"",1-((BOM!$E$22*(1-F$22)+INPUTS!$C$17+DEAL!$C$9+DEAL!$C$10+INPUTS!$C$18)+INPUTS!$C$27/INPUTS!$C$5)/(INPUTS!$C$6*$B23)-DEAL!$C$20-INPUTS!$C$24-INPUTS!$C$25)</f>
        <v/>
      </c>
      <c r="G23" s="147">
        <f>IF(OR(DEAL!$C$9="",DEAL!$C$10=""),"",1-((BOM!$E$22*(1-G$22)+INPUTS!$C$17+DEAL!$C$9+DEAL!$C$10+INPUTS!$C$18)+INPUTS!$C$27/INPUTS!$C$5)/(INPUTS!$C$6*$B23)-DEAL!$C$20-INPUTS!$C$24-INPUTS!$C$25)</f>
        <v/>
      </c>
      <c r="H23" s="147">
        <f>IF(OR(DEAL!$C$9="",DEAL!$C$10=""),"",1-((BOM!$E$22*(1-H$22)+INPUTS!$C$17+DEAL!$C$9+DEAL!$C$10+INPUTS!$C$18)+INPUTS!$C$27/INPUTS!$C$5)/(INPUTS!$C$6*$B23)-DEAL!$C$20-INPUTS!$C$24-INPUTS!$C$25)</f>
        <v/>
      </c>
    </row>
    <row r="24" ht="15" customHeight="1" s="85">
      <c r="B24" s="146" t="n">
        <v>0.65</v>
      </c>
      <c r="C24" s="147">
        <f>IF(OR(DEAL!$C$9="",DEAL!$C$10=""),"",1-((BOM!$E$22*(1-C$22)+INPUTS!$C$17+DEAL!$C$9+DEAL!$C$10+INPUTS!$C$18)+INPUTS!$C$27/INPUTS!$C$5)/(INPUTS!$C$6*$B24)-DEAL!$C$20-INPUTS!$C$24-INPUTS!$C$25)</f>
        <v/>
      </c>
      <c r="D24" s="147">
        <f>IF(OR(DEAL!$C$9="",DEAL!$C$10=""),"",1-((BOM!$E$22*(1-D$22)+INPUTS!$C$17+DEAL!$C$9+DEAL!$C$10+INPUTS!$C$18)+INPUTS!$C$27/INPUTS!$C$5)/(INPUTS!$C$6*$B24)-DEAL!$C$20-INPUTS!$C$24-INPUTS!$C$25)</f>
        <v/>
      </c>
      <c r="E24" s="147">
        <f>IF(OR(DEAL!$C$9="",DEAL!$C$10=""),"",1-((BOM!$E$22*(1-E$22)+INPUTS!$C$17+DEAL!$C$9+DEAL!$C$10+INPUTS!$C$18)+INPUTS!$C$27/INPUTS!$C$5)/(INPUTS!$C$6*$B24)-DEAL!$C$20-INPUTS!$C$24-INPUTS!$C$25)</f>
        <v/>
      </c>
      <c r="F24" s="147">
        <f>IF(OR(DEAL!$C$9="",DEAL!$C$10=""),"",1-((BOM!$E$22*(1-F$22)+INPUTS!$C$17+DEAL!$C$9+DEAL!$C$10+INPUTS!$C$18)+INPUTS!$C$27/INPUTS!$C$5)/(INPUTS!$C$6*$B24)-DEAL!$C$20-INPUTS!$C$24-INPUTS!$C$25)</f>
        <v/>
      </c>
      <c r="G24" s="147">
        <f>IF(OR(DEAL!$C$9="",DEAL!$C$10=""),"",1-((BOM!$E$22*(1-G$22)+INPUTS!$C$17+DEAL!$C$9+DEAL!$C$10+INPUTS!$C$18)+INPUTS!$C$27/INPUTS!$C$5)/(INPUTS!$C$6*$B24)-DEAL!$C$20-INPUTS!$C$24-INPUTS!$C$25)</f>
        <v/>
      </c>
      <c r="H24" s="147">
        <f>IF(OR(DEAL!$C$9="",DEAL!$C$10=""),"",1-((BOM!$E$22*(1-H$22)+INPUTS!$C$17+DEAL!$C$9+DEAL!$C$10+INPUTS!$C$18)+INPUTS!$C$27/INPUTS!$C$5)/(INPUTS!$C$6*$B24)-DEAL!$C$20-INPUTS!$C$24-INPUTS!$C$25)</f>
        <v/>
      </c>
    </row>
    <row r="25" ht="15" customHeight="1" s="85">
      <c r="B25" s="146" t="n">
        <v>0.7</v>
      </c>
      <c r="C25" s="147">
        <f>IF(OR(DEAL!$C$9="",DEAL!$C$10=""),"",1-((BOM!$E$22*(1-C$22)+INPUTS!$C$17+DEAL!$C$9+DEAL!$C$10+INPUTS!$C$18)+INPUTS!$C$27/INPUTS!$C$5)/(INPUTS!$C$6*$B25)-DEAL!$C$20-INPUTS!$C$24-INPUTS!$C$25)</f>
        <v/>
      </c>
      <c r="D25" s="147">
        <f>IF(OR(DEAL!$C$9="",DEAL!$C$10=""),"",1-((BOM!$E$22*(1-D$22)+INPUTS!$C$17+DEAL!$C$9+DEAL!$C$10+INPUTS!$C$18)+INPUTS!$C$27/INPUTS!$C$5)/(INPUTS!$C$6*$B25)-DEAL!$C$20-INPUTS!$C$24-INPUTS!$C$25)</f>
        <v/>
      </c>
      <c r="E25" s="147">
        <f>IF(OR(DEAL!$C$9="",DEAL!$C$10=""),"",1-((BOM!$E$22*(1-E$22)+INPUTS!$C$17+DEAL!$C$9+DEAL!$C$10+INPUTS!$C$18)+INPUTS!$C$27/INPUTS!$C$5)/(INPUTS!$C$6*$B25)-DEAL!$C$20-INPUTS!$C$24-INPUTS!$C$25)</f>
        <v/>
      </c>
      <c r="F25" s="147">
        <f>IF(OR(DEAL!$C$9="",DEAL!$C$10=""),"",1-((BOM!$E$22*(1-F$22)+INPUTS!$C$17+DEAL!$C$9+DEAL!$C$10+INPUTS!$C$18)+INPUTS!$C$27/INPUTS!$C$5)/(INPUTS!$C$6*$B25)-DEAL!$C$20-INPUTS!$C$24-INPUTS!$C$25)</f>
        <v/>
      </c>
      <c r="G25" s="147">
        <f>IF(OR(DEAL!$C$9="",DEAL!$C$10=""),"",1-((BOM!$E$22*(1-G$22)+INPUTS!$C$17+DEAL!$C$9+DEAL!$C$10+INPUTS!$C$18)+INPUTS!$C$27/INPUTS!$C$5)/(INPUTS!$C$6*$B25)-DEAL!$C$20-INPUTS!$C$24-INPUTS!$C$25)</f>
        <v/>
      </c>
      <c r="H25" s="147">
        <f>IF(OR(DEAL!$C$9="",DEAL!$C$10=""),"",1-((BOM!$E$22*(1-H$22)+INPUTS!$C$17+DEAL!$C$9+DEAL!$C$10+INPUTS!$C$18)+INPUTS!$C$27/INPUTS!$C$5)/(INPUTS!$C$6*$B25)-DEAL!$C$20-INPUTS!$C$24-INPUTS!$C$25)</f>
        <v/>
      </c>
    </row>
    <row r="26" ht="15" customHeight="1" s="85">
      <c r="B26" s="146" t="n">
        <v>0.75</v>
      </c>
      <c r="C26" s="147">
        <f>IF(OR(DEAL!$C$9="",DEAL!$C$10=""),"",1-((BOM!$E$22*(1-C$22)+INPUTS!$C$17+DEAL!$C$9+DEAL!$C$10+INPUTS!$C$18)+INPUTS!$C$27/INPUTS!$C$5)/(INPUTS!$C$6*$B26)-DEAL!$C$20-INPUTS!$C$24-INPUTS!$C$25)</f>
        <v/>
      </c>
      <c r="D26" s="147">
        <f>IF(OR(DEAL!$C$9="",DEAL!$C$10=""),"",1-((BOM!$E$22*(1-D$22)+INPUTS!$C$17+DEAL!$C$9+DEAL!$C$10+INPUTS!$C$18)+INPUTS!$C$27/INPUTS!$C$5)/(INPUTS!$C$6*$B26)-DEAL!$C$20-INPUTS!$C$24-INPUTS!$C$25)</f>
        <v/>
      </c>
      <c r="E26" s="147">
        <f>IF(OR(DEAL!$C$9="",DEAL!$C$10=""),"",1-((BOM!$E$22*(1-E$22)+INPUTS!$C$17+DEAL!$C$9+DEAL!$C$10+INPUTS!$C$18)+INPUTS!$C$27/INPUTS!$C$5)/(INPUTS!$C$6*$B26)-DEAL!$C$20-INPUTS!$C$24-INPUTS!$C$25)</f>
        <v/>
      </c>
      <c r="F26" s="147">
        <f>IF(OR(DEAL!$C$9="",DEAL!$C$10=""),"",1-((BOM!$E$22*(1-F$22)+INPUTS!$C$17+DEAL!$C$9+DEAL!$C$10+INPUTS!$C$18)+INPUTS!$C$27/INPUTS!$C$5)/(INPUTS!$C$6*$B26)-DEAL!$C$20-INPUTS!$C$24-INPUTS!$C$25)</f>
        <v/>
      </c>
      <c r="G26" s="147">
        <f>IF(OR(DEAL!$C$9="",DEAL!$C$10=""),"",1-((BOM!$E$22*(1-G$22)+INPUTS!$C$17+DEAL!$C$9+DEAL!$C$10+INPUTS!$C$18)+INPUTS!$C$27/INPUTS!$C$5)/(INPUTS!$C$6*$B26)-DEAL!$C$20-INPUTS!$C$24-INPUTS!$C$25)</f>
        <v/>
      </c>
      <c r="H26" s="147">
        <f>IF(OR(DEAL!$C$9="",DEAL!$C$10=""),"",1-((BOM!$E$22*(1-H$22)+INPUTS!$C$17+DEAL!$C$9+DEAL!$C$10+INPUTS!$C$18)+INPUTS!$C$27/INPUTS!$C$5)/(INPUTS!$C$6*$B26)-DEAL!$C$20-INPUTS!$C$24-INPUTS!$C$25)</f>
        <v/>
      </c>
    </row>
    <row r="27" ht="15" customHeight="1" s="85">
      <c r="B27" s="146" t="n">
        <v>0.8</v>
      </c>
      <c r="C27" s="147">
        <f>IF(OR(DEAL!$C$9="",DEAL!$C$10=""),"",1-((BOM!$E$22*(1-C$22)+INPUTS!$C$17+DEAL!$C$9+DEAL!$C$10+INPUTS!$C$18)+INPUTS!$C$27/INPUTS!$C$5)/(INPUTS!$C$6*$B27)-DEAL!$C$20-INPUTS!$C$24-INPUTS!$C$25)</f>
        <v/>
      </c>
      <c r="D27" s="147">
        <f>IF(OR(DEAL!$C$9="",DEAL!$C$10=""),"",1-((BOM!$E$22*(1-D$22)+INPUTS!$C$17+DEAL!$C$9+DEAL!$C$10+INPUTS!$C$18)+INPUTS!$C$27/INPUTS!$C$5)/(INPUTS!$C$6*$B27)-DEAL!$C$20-INPUTS!$C$24-INPUTS!$C$25)</f>
        <v/>
      </c>
      <c r="E27" s="147">
        <f>IF(OR(DEAL!$C$9="",DEAL!$C$10=""),"",1-((BOM!$E$22*(1-E$22)+INPUTS!$C$17+DEAL!$C$9+DEAL!$C$10+INPUTS!$C$18)+INPUTS!$C$27/INPUTS!$C$5)/(INPUTS!$C$6*$B27)-DEAL!$C$20-INPUTS!$C$24-INPUTS!$C$25)</f>
        <v/>
      </c>
      <c r="F27" s="147">
        <f>IF(OR(DEAL!$C$9="",DEAL!$C$10=""),"",1-((BOM!$E$22*(1-F$22)+INPUTS!$C$17+DEAL!$C$9+DEAL!$C$10+INPUTS!$C$18)+INPUTS!$C$27/INPUTS!$C$5)/(INPUTS!$C$6*$B27)-DEAL!$C$20-INPUTS!$C$24-INPUTS!$C$25)</f>
        <v/>
      </c>
      <c r="G27" s="147">
        <f>IF(OR(DEAL!$C$9="",DEAL!$C$10=""),"",1-((BOM!$E$22*(1-G$22)+INPUTS!$C$17+DEAL!$C$9+DEAL!$C$10+INPUTS!$C$18)+INPUTS!$C$27/INPUTS!$C$5)/(INPUTS!$C$6*$B27)-DEAL!$C$20-INPUTS!$C$24-INPUTS!$C$25)</f>
        <v/>
      </c>
      <c r="H27" s="147">
        <f>IF(OR(DEAL!$C$9="",DEAL!$C$10=""),"",1-((BOM!$E$22*(1-H$22)+INPUTS!$C$17+DEAL!$C$9+DEAL!$C$10+INPUTS!$C$18)+INPUTS!$C$27/INPUTS!$C$5)/(INPUTS!$C$6*$B27)-DEAL!$C$20-INPUTS!$C$24-INPUTS!$C$25)</f>
        <v/>
      </c>
    </row>
    <row r="28" ht="15" customHeight="1" s="85">
      <c r="B28" s="146" t="n">
        <v>0.85</v>
      </c>
      <c r="C28" s="147">
        <f>IF(OR(DEAL!$C$9="",DEAL!$C$10=""),"",1-((BOM!$E$22*(1-C$22)+INPUTS!$C$17+DEAL!$C$9+DEAL!$C$10+INPUTS!$C$18)+INPUTS!$C$27/INPUTS!$C$5)/(INPUTS!$C$6*$B28)-DEAL!$C$20-INPUTS!$C$24-INPUTS!$C$25)</f>
        <v/>
      </c>
      <c r="D28" s="147">
        <f>IF(OR(DEAL!$C$9="",DEAL!$C$10=""),"",1-((BOM!$E$22*(1-D$22)+INPUTS!$C$17+DEAL!$C$9+DEAL!$C$10+INPUTS!$C$18)+INPUTS!$C$27/INPUTS!$C$5)/(INPUTS!$C$6*$B28)-DEAL!$C$20-INPUTS!$C$24-INPUTS!$C$25)</f>
        <v/>
      </c>
      <c r="E28" s="147">
        <f>IF(OR(DEAL!$C$9="",DEAL!$C$10=""),"",1-((BOM!$E$22*(1-E$22)+INPUTS!$C$17+DEAL!$C$9+DEAL!$C$10+INPUTS!$C$18)+INPUTS!$C$27/INPUTS!$C$5)/(INPUTS!$C$6*$B28)-DEAL!$C$20-INPUTS!$C$24-INPUTS!$C$25)</f>
        <v/>
      </c>
      <c r="F28" s="147">
        <f>IF(OR(DEAL!$C$9="",DEAL!$C$10=""),"",1-((BOM!$E$22*(1-F$22)+INPUTS!$C$17+DEAL!$C$9+DEAL!$C$10+INPUTS!$C$18)+INPUTS!$C$27/INPUTS!$C$5)/(INPUTS!$C$6*$B28)-DEAL!$C$20-INPUTS!$C$24-INPUTS!$C$25)</f>
        <v/>
      </c>
      <c r="G28" s="147">
        <f>IF(OR(DEAL!$C$9="",DEAL!$C$10=""),"",1-((BOM!$E$22*(1-G$22)+INPUTS!$C$17+DEAL!$C$9+DEAL!$C$10+INPUTS!$C$18)+INPUTS!$C$27/INPUTS!$C$5)/(INPUTS!$C$6*$B28)-DEAL!$C$20-INPUTS!$C$24-INPUTS!$C$25)</f>
        <v/>
      </c>
      <c r="H28" s="147">
        <f>IF(OR(DEAL!$C$9="",DEAL!$C$10=""),"",1-((BOM!$E$22*(1-H$22)+INPUTS!$C$17+DEAL!$C$9+DEAL!$C$10+INPUTS!$C$18)+INPUTS!$C$27/INPUTS!$C$5)/(INPUTS!$C$6*$B28)-DEAL!$C$20-INPUTS!$C$24-INPUTS!$C$25)</f>
        <v/>
      </c>
    </row>
    <row r="29" ht="15" customHeight="1" s="85">
      <c r="B29" s="146" t="n">
        <v>0.9</v>
      </c>
      <c r="C29" s="147">
        <f>IF(OR(DEAL!$C$9="",DEAL!$C$10=""),"",1-((BOM!$E$22*(1-C$22)+INPUTS!$C$17+DEAL!$C$9+DEAL!$C$10+INPUTS!$C$18)+INPUTS!$C$27/INPUTS!$C$5)/(INPUTS!$C$6*$B29)-DEAL!$C$20-INPUTS!$C$24-INPUTS!$C$25)</f>
        <v/>
      </c>
      <c r="D29" s="147">
        <f>IF(OR(DEAL!$C$9="",DEAL!$C$10=""),"",1-((BOM!$E$22*(1-D$22)+INPUTS!$C$17+DEAL!$C$9+DEAL!$C$10+INPUTS!$C$18)+INPUTS!$C$27/INPUTS!$C$5)/(INPUTS!$C$6*$B29)-DEAL!$C$20-INPUTS!$C$24-INPUTS!$C$25)</f>
        <v/>
      </c>
      <c r="E29" s="147">
        <f>IF(OR(DEAL!$C$9="",DEAL!$C$10=""),"",1-((BOM!$E$22*(1-E$22)+INPUTS!$C$17+DEAL!$C$9+DEAL!$C$10+INPUTS!$C$18)+INPUTS!$C$27/INPUTS!$C$5)/(INPUTS!$C$6*$B29)-DEAL!$C$20-INPUTS!$C$24-INPUTS!$C$25)</f>
        <v/>
      </c>
      <c r="F29" s="147">
        <f>IF(OR(DEAL!$C$9="",DEAL!$C$10=""),"",1-((BOM!$E$22*(1-F$22)+INPUTS!$C$17+DEAL!$C$9+DEAL!$C$10+INPUTS!$C$18)+INPUTS!$C$27/INPUTS!$C$5)/(INPUTS!$C$6*$B29)-DEAL!$C$20-INPUTS!$C$24-INPUTS!$C$25)</f>
        <v/>
      </c>
      <c r="G29" s="147">
        <f>IF(OR(DEAL!$C$9="",DEAL!$C$10=""),"",1-((BOM!$E$22*(1-G$22)+INPUTS!$C$17+DEAL!$C$9+DEAL!$C$10+INPUTS!$C$18)+INPUTS!$C$27/INPUTS!$C$5)/(INPUTS!$C$6*$B29)-DEAL!$C$20-INPUTS!$C$24-INPUTS!$C$25)</f>
        <v/>
      </c>
      <c r="H29" s="147">
        <f>IF(OR(DEAL!$C$9="",DEAL!$C$10=""),"",1-((BOM!$E$22*(1-H$22)+INPUTS!$C$17+DEAL!$C$9+DEAL!$C$10+INPUTS!$C$18)+INPUTS!$C$27/INPUTS!$C$5)/(INPUTS!$C$6*$B29)-DEAL!$C$20-INPUTS!$C$24-INPUTS!$C$25)</f>
        <v/>
      </c>
    </row>
    <row r="30" ht="15" customHeight="1" s="85">
      <c r="B30" s="146" t="n">
        <v>0.95</v>
      </c>
      <c r="C30" s="147">
        <f>IF(OR(DEAL!$C$9="",DEAL!$C$10=""),"",1-((BOM!$E$22*(1-C$22)+INPUTS!$C$17+DEAL!$C$9+DEAL!$C$10+INPUTS!$C$18)+INPUTS!$C$27/INPUTS!$C$5)/(INPUTS!$C$6*$B30)-DEAL!$C$20-INPUTS!$C$24-INPUTS!$C$25)</f>
        <v/>
      </c>
      <c r="D30" s="147">
        <f>IF(OR(DEAL!$C$9="",DEAL!$C$10=""),"",1-((BOM!$E$22*(1-D$22)+INPUTS!$C$17+DEAL!$C$9+DEAL!$C$10+INPUTS!$C$18)+INPUTS!$C$27/INPUTS!$C$5)/(INPUTS!$C$6*$B30)-DEAL!$C$20-INPUTS!$C$24-INPUTS!$C$25)</f>
        <v/>
      </c>
      <c r="E30" s="147">
        <f>IF(OR(DEAL!$C$9="",DEAL!$C$10=""),"",1-((BOM!$E$22*(1-E$22)+INPUTS!$C$17+DEAL!$C$9+DEAL!$C$10+INPUTS!$C$18)+INPUTS!$C$27/INPUTS!$C$5)/(INPUTS!$C$6*$B30)-DEAL!$C$20-INPUTS!$C$24-INPUTS!$C$25)</f>
        <v/>
      </c>
      <c r="F30" s="147">
        <f>IF(OR(DEAL!$C$9="",DEAL!$C$10=""),"",1-((BOM!$E$22*(1-F$22)+INPUTS!$C$17+DEAL!$C$9+DEAL!$C$10+INPUTS!$C$18)+INPUTS!$C$27/INPUTS!$C$5)/(INPUTS!$C$6*$B30)-DEAL!$C$20-INPUTS!$C$24-INPUTS!$C$25)</f>
        <v/>
      </c>
      <c r="G30" s="147">
        <f>IF(OR(DEAL!$C$9="",DEAL!$C$10=""),"",1-((BOM!$E$22*(1-G$22)+INPUTS!$C$17+DEAL!$C$9+DEAL!$C$10+INPUTS!$C$18)+INPUTS!$C$27/INPUTS!$C$5)/(INPUTS!$C$6*$B30)-DEAL!$C$20-INPUTS!$C$24-INPUTS!$C$25)</f>
        <v/>
      </c>
      <c r="H30" s="147">
        <f>IF(OR(DEAL!$C$9="",DEAL!$C$10=""),"",1-((BOM!$E$22*(1-H$22)+INPUTS!$C$17+DEAL!$C$9+DEAL!$C$10+INPUTS!$C$18)+INPUTS!$C$27/INPUTS!$C$5)/(INPUTS!$C$6*$B30)-DEAL!$C$20-INPUTS!$C$24-INPUTS!$C$25)</f>
        <v/>
      </c>
    </row>
    <row r="31" ht="15" customHeight="1" s="85">
      <c r="B31" s="146" t="n">
        <v>1</v>
      </c>
      <c r="C31" s="147">
        <f>IF(OR(DEAL!$C$9="",DEAL!$C$10=""),"",1-((BOM!$E$22*(1-C$22)+INPUTS!$C$17+DEAL!$C$9+DEAL!$C$10+INPUTS!$C$18)+INPUTS!$C$27/INPUTS!$C$5)/(INPUTS!$C$6*$B31)-DEAL!$C$20-INPUTS!$C$24-INPUTS!$C$25)</f>
        <v/>
      </c>
      <c r="D31" s="147">
        <f>IF(OR(DEAL!$C$9="",DEAL!$C$10=""),"",1-((BOM!$E$22*(1-D$22)+INPUTS!$C$17+DEAL!$C$9+DEAL!$C$10+INPUTS!$C$18)+INPUTS!$C$27/INPUTS!$C$5)/(INPUTS!$C$6*$B31)-DEAL!$C$20-INPUTS!$C$24-INPUTS!$C$25)</f>
        <v/>
      </c>
      <c r="E31" s="147">
        <f>IF(OR(DEAL!$C$9="",DEAL!$C$10=""),"",1-((BOM!$E$22*(1-E$22)+INPUTS!$C$17+DEAL!$C$9+DEAL!$C$10+INPUTS!$C$18)+INPUTS!$C$27/INPUTS!$C$5)/(INPUTS!$C$6*$B31)-DEAL!$C$20-INPUTS!$C$24-INPUTS!$C$25)</f>
        <v/>
      </c>
      <c r="F31" s="147">
        <f>IF(OR(DEAL!$C$9="",DEAL!$C$10=""),"",1-((BOM!$E$22*(1-F$22)+INPUTS!$C$17+DEAL!$C$9+DEAL!$C$10+INPUTS!$C$18)+INPUTS!$C$27/INPUTS!$C$5)/(INPUTS!$C$6*$B31)-DEAL!$C$20-INPUTS!$C$24-INPUTS!$C$25)</f>
        <v/>
      </c>
      <c r="G31" s="147">
        <f>IF(OR(DEAL!$C$9="",DEAL!$C$10=""),"",1-((BOM!$E$22*(1-G$22)+INPUTS!$C$17+DEAL!$C$9+DEAL!$C$10+INPUTS!$C$18)+INPUTS!$C$27/INPUTS!$C$5)/(INPUTS!$C$6*$B31)-DEAL!$C$20-INPUTS!$C$24-INPUTS!$C$25)</f>
        <v/>
      </c>
      <c r="H31" s="147">
        <f>IF(OR(DEAL!$C$9="",DEAL!$C$10=""),"",1-((BOM!$E$22*(1-H$22)+INPUTS!$C$17+DEAL!$C$9+DEAL!$C$10+INPUTS!$C$18)+INPUTS!$C$27/INPUTS!$C$5)/(INPUTS!$C$6*$B31)-DEAL!$C$20-INPUTS!$C$24-INPUTS!$C$25)</f>
        <v/>
      </c>
    </row>
    <row r="34" ht="15" customHeight="1" s="85">
      <c r="B34" s="98" t="inlineStr">
        <is>
          <t>Read it: find the discount you can actually get, then read across to the freight you will actually pay. Grid A holds the bid fixed at your INPUTS level; Grid B holds freight fixed at yours.</t>
        </is>
      </c>
    </row>
    <row r="35" ht="15" customHeight="1" s="85">
      <c r="B35" s="98" t="inlineStr">
        <is>
          <t>Both grids ignore the platform fee cap, so they run slightly conservative on large lots.</t>
        </is>
      </c>
    </row>
  </sheetData>
  <mergeCells count="4">
    <mergeCell ref="B6:B7"/>
    <mergeCell ref="B21:B22"/>
    <mergeCell ref="B35:H35"/>
    <mergeCell ref="B34:H34"/>
  </mergeCells>
  <conditionalFormatting sqref="C8:H18">
    <cfRule type="expression" rank="0" priority="2" equalAverage="0" aboveAverage="0" dxfId="2" text="" percent="0" bottom="0">
      <formula>AND(ISNUMBER(C8),C8&gt;=$C$3)</formula>
    </cfRule>
    <cfRule type="expression" rank="0" priority="3" equalAverage="0" aboveAverage="0" dxfId="0" text="" percent="0" bottom="0">
      <formula>AND(ISNUMBER(C8),C8&lt;0)</formula>
    </cfRule>
    <cfRule type="expression" rank="0" priority="4" equalAverage="0" aboveAverage="0" dxfId="1" text="" percent="0" bottom="0">
      <formula>ISNUMBER(C8)</formula>
    </cfRule>
  </conditionalFormatting>
  <conditionalFormatting sqref="C23:H31">
    <cfRule type="expression" rank="0" priority="5" equalAverage="0" aboveAverage="0" dxfId="2" text="" percent="0" bottom="0">
      <formula>AND(ISNUMBER(C23),C23&gt;=$C$3)</formula>
    </cfRule>
    <cfRule type="expression" rank="0" priority="6" equalAverage="0" aboveAverage="0" dxfId="0" text="" percent="0" bottom="0">
      <formula>AND(ISNUMBER(C23),C23&lt;0)</formula>
    </cfRule>
    <cfRule type="expression" rank="0" priority="7" equalAverage="0" aboveAverage="0" dxfId="1" text="" percent="0" bottom="0">
      <formula>ISNUMBER(C23)</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B2:I4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style="85" min="1" max="1"/>
    <col width="46" customWidth="1" style="85" min="2" max="2"/>
    <col width="16" customWidth="1" style="85" min="3" max="3"/>
    <col width="16" customWidth="1" style="85" min="4" max="4"/>
    <col width="16" customWidth="1" style="85" min="5" max="5"/>
    <col width="16" customWidth="1" style="85" min="6" max="6"/>
    <col width="16" customWidth="1" style="85" min="7" max="7"/>
    <col width="16" customWidth="1" style="85" min="8" max="8"/>
    <col width="56" customWidth="1" style="85" min="9" max="9"/>
  </cols>
  <sheetData>
    <row r="2">
      <c r="B2" s="149" t="inlineStr">
        <is>
          <t>SCENARIOS  —  the same business under six sets of facts</t>
        </is>
      </c>
    </row>
    <row r="3" ht="26" customHeight="1" s="85">
      <c r="B3" s="150" t="inlineStr">
        <is>
          <t>Each column stands alone: the blue cells are its own assumptions, everything below is computed from them. Lots per year is never assumed — it is what R$15.600 of capital can actually turn over at that column's float.</t>
        </is>
      </c>
    </row>
    <row r="5" ht="32" customHeight="1" s="85">
      <c r="B5" s="151" t="inlineStr">
        <is>
          <t>SCENARIO</t>
        </is>
      </c>
      <c r="C5" s="152" t="inlineStr">
        <is>
          <t>A · As typed</t>
        </is>
      </c>
      <c r="D5" s="152" t="inlineStr">
        <is>
          <t>B · TODAY, done right</t>
        </is>
      </c>
      <c r="E5" s="152" t="inlineStr">
        <is>
          <t>C · + 20% supplier discount</t>
        </is>
      </c>
      <c r="F5" s="152" t="inlineStr">
        <is>
          <t>D · + 28-day supplier terms</t>
        </is>
      </c>
      <c r="G5" s="152" t="inlineStr">
        <is>
          <t>E · Terms, NO discount</t>
        </is>
      </c>
      <c r="H5" s="152" t="inlineStr">
        <is>
          <t>F · Lote único at 50%</t>
        </is>
      </c>
      <c r="I5" s="151" t="inlineStr">
        <is>
          <t>WHAT IT MEANS</t>
        </is>
      </c>
    </row>
    <row r="6">
      <c r="B6" s="153" t="inlineStr">
        <is>
          <t>Kits in the lot</t>
        </is>
      </c>
      <c r="C6" s="154" t="n">
        <v>100</v>
      </c>
      <c r="D6" s="154" t="n">
        <v>61</v>
      </c>
      <c r="E6" s="154" t="n">
        <v>73</v>
      </c>
      <c r="F6" s="154" t="n">
        <v>73</v>
      </c>
      <c r="G6" s="154" t="n">
        <v>61</v>
      </c>
      <c r="H6" s="154" t="n">
        <v>61</v>
      </c>
      <c r="I6" s="155" t="inlineStr">
        <is>
          <t>Column A is 100 kits because that is the median tender; B–E are the biggest lot R$15.600 can actually fund.</t>
        </is>
      </c>
    </row>
    <row r="7">
      <c r="B7" s="153" t="inlineStr">
        <is>
          <t>Bid as % of the buyer's estimate</t>
        </is>
      </c>
      <c r="C7" s="156" t="n">
        <v>0.75</v>
      </c>
      <c r="D7" s="156" t="n">
        <v>0.9</v>
      </c>
      <c r="E7" s="156" t="n">
        <v>0.9</v>
      </c>
      <c r="F7" s="156" t="n">
        <v>0.9</v>
      </c>
      <c r="G7" s="156" t="n">
        <v>0.9</v>
      </c>
      <c r="H7" s="156" t="n">
        <v>0.5</v>
      </c>
      <c r="I7" s="155" t="inlineStr">
        <is>
          <t>Per-item lots clear at 97–100% of estimate. Bidding 75% was never required — it was inherited.</t>
        </is>
      </c>
    </row>
    <row r="8">
      <c r="B8" s="153" t="inlineStr">
        <is>
          <t>Supplier discount off list</t>
        </is>
      </c>
      <c r="C8" s="156" t="n">
        <v>0</v>
      </c>
      <c r="D8" s="156" t="n">
        <v>0</v>
      </c>
      <c r="E8" s="156" t="n">
        <v>0.2</v>
      </c>
      <c r="F8" s="156" t="n">
        <v>0.2</v>
      </c>
      <c r="G8" s="156" t="n">
        <v>0</v>
      </c>
      <c r="H8" s="156" t="n">
        <v>0</v>
      </c>
      <c r="I8" s="155" t="inlineStr">
        <is>
          <t>UNVERIFIED. ~45% is the rumoured account tier; 20% is deliberately conservative.</t>
        </is>
      </c>
    </row>
    <row r="9">
      <c r="B9" s="153" t="inlineStr">
        <is>
          <t>Freight per kit (LTL SP→CE, measured)</t>
        </is>
      </c>
      <c r="C9" s="157" t="n">
        <v>53.99</v>
      </c>
      <c r="D9" s="157" t="n">
        <v>53.99</v>
      </c>
      <c r="E9" s="157" t="n">
        <v>53.99</v>
      </c>
      <c r="F9" s="157" t="n">
        <v>53.99</v>
      </c>
      <c r="G9" s="157" t="n">
        <v>53.99</v>
      </c>
      <c r="H9" s="157" t="n">
        <v>53.99</v>
      </c>
      <c r="I9" s="155" t="inlineStr">
        <is>
          <t>Swap this for R$188,40 (PAC to MA) and every column below turns negative.</t>
        </is>
      </c>
    </row>
    <row r="10">
      <c r="B10" s="153" t="inlineStr">
        <is>
          <t>Days the cash is out (float)</t>
        </is>
      </c>
      <c r="C10" s="154" t="n">
        <v>45</v>
      </c>
      <c r="D10" s="154" t="n">
        <v>45</v>
      </c>
      <c r="E10" s="154" t="n">
        <v>45</v>
      </c>
      <c r="F10" s="154" t="n">
        <v>6</v>
      </c>
      <c r="G10" s="154" t="n">
        <v>6</v>
      </c>
      <c r="H10" s="154" t="n">
        <v>45</v>
      </c>
      <c r="I10" s="155" t="inlineStr">
        <is>
          <t>45 = prepay. 6 = a supplier granting 28 days. This one line is the whole business.</t>
        </is>
      </c>
    </row>
    <row r="12">
      <c r="B12" s="158" t="inlineStr">
        <is>
          <t>Shared by every column: estimate R$359,05 · capital R$15.600 · fixed costs R$6.000/yr · 8 h per order · R$5,20/US$</t>
        </is>
      </c>
    </row>
    <row r="14">
      <c r="B14" s="151" t="inlineStr">
        <is>
          <t>ONE LOT</t>
        </is>
      </c>
      <c r="C14" s="151" t="n"/>
      <c r="D14" s="151" t="n"/>
      <c r="E14" s="151" t="n"/>
      <c r="F14" s="151" t="n"/>
      <c r="G14" s="151" t="n"/>
      <c r="H14" s="151" t="n"/>
      <c r="I14" s="151" t="n"/>
    </row>
    <row r="15">
      <c r="B15" s="153" t="inlineStr">
        <is>
          <t>Cost per kit</t>
        </is>
      </c>
      <c r="C15" s="159">
        <f>(BOM!$E$22*(1-C8)+C9)</f>
        <v/>
      </c>
      <c r="D15" s="159">
        <f>(BOM!$E$22*(1-D8)+D9)</f>
        <v/>
      </c>
      <c r="E15" s="159">
        <f>(BOM!$E$22*(1-E8)+E9)</f>
        <v/>
      </c>
      <c r="F15" s="159">
        <f>(BOM!$E$22*(1-F8)+F9)</f>
        <v/>
      </c>
      <c r="G15" s="159">
        <f>(BOM!$E$22*(1-G8)+G9)</f>
        <v/>
      </c>
      <c r="H15" s="159">
        <f>(BOM!$E$22*(1-H8)+H9)</f>
        <v/>
      </c>
      <c r="I15" s="155" t="inlineStr">
        <is>
          <t>Goods after discount, plus freight. Assembly is R$0 — every lot here is inside the 240-kit self-pack ceiling.</t>
        </is>
      </c>
    </row>
    <row r="16">
      <c r="B16" s="153" t="inlineStr">
        <is>
          <t>Bid price per kit</t>
        </is>
      </c>
      <c r="C16" s="159">
        <f>(INPUTS!$C$6*C7)</f>
        <v/>
      </c>
      <c r="D16" s="159">
        <f>(INPUTS!$C$6*D7)</f>
        <v/>
      </c>
      <c r="E16" s="159">
        <f>(INPUTS!$C$6*E7)</f>
        <v/>
      </c>
      <c r="F16" s="159">
        <f>(INPUTS!$C$6*F7)</f>
        <v/>
      </c>
      <c r="G16" s="159">
        <f>(INPUTS!$C$6*G7)</f>
        <v/>
      </c>
      <c r="H16" s="159">
        <f>(INPUTS!$C$6*H7)</f>
        <v/>
      </c>
    </row>
    <row r="17">
      <c r="B17" s="153" t="inlineStr">
        <is>
          <t>Cash you must front</t>
        </is>
      </c>
      <c r="C17" s="160">
        <f>((BOM!$E$22*(1-C8)+C9)*C6)</f>
        <v/>
      </c>
      <c r="D17" s="160">
        <f>((BOM!$E$22*(1-D8)+D9)*D6)</f>
        <v/>
      </c>
      <c r="E17" s="160">
        <f>((BOM!$E$22*(1-E8)+E9)*E6)</f>
        <v/>
      </c>
      <c r="F17" s="160">
        <f>((BOM!$E$22*(1-F8)+F9)*F6)</f>
        <v/>
      </c>
      <c r="G17" s="160">
        <f>((BOM!$E$22*(1-G8)+G9)*G6)</f>
        <v/>
      </c>
      <c r="H17" s="160">
        <f>((BOM!$E$22*(1-H8)+H9)*H6)</f>
        <v/>
      </c>
      <c r="I17" s="155" t="inlineStr">
        <is>
          <t>Must not exceed R$15.600. That ceiling is what sets the lot size.</t>
        </is>
      </c>
    </row>
    <row r="18">
      <c r="B18" s="161" t="inlineStr">
        <is>
          <t>Net margin on the lot</t>
        </is>
      </c>
      <c r="C18" s="162">
        <f>IF(((INPUTS!$C$6*C7)*C6)=0,0,(((INPUTS!$C$6*C7)*C6)-((BOM!$E$22*(1-C8)+C9)*C6)-((INPUTS!$C$6*C7)*C6)*(IF((((INPUTS!$C$6*C7)*C6)*((INPUTS!$C$28/((BOM!$E$22*(1-C8)+C9)*C6))*365/C10))&lt;=0,0.04,IF((((INPUTS!$C$6*C7)*C6)*((INPUTS!$C$28/((BOM!$E$22*(1-C8)+C9)*C6))*365/C10))&lt;=180000,0.04,IF((((INPUTS!$C$6*C7)*C6)*((INPUTS!$C$28/((BOM!$E$22*(1-C8)+C9)*C6))*365/C10))&lt;=360000,((((INPUTS!$C$6*C7)*C6)*((INPUTS!$C$28/((BOM!$E$22*(1-C8)+C9)*C6))*365/C10))*0.073-5940)/(((INPUTS!$C$6*C7)*C6)*((INPUTS!$C$28/((BOM!$E$22*(1-C8)+C9)*C6))*365/C10)),IF((((INPUTS!$C$6*C7)*C6)*((INPUTS!$C$28/((BOM!$E$22*(1-C8)+C9)*C6))*365/C10))&lt;=720000,((((INPUTS!$C$6*C7)*C6)*((INPUTS!$C$28/((BOM!$E$22*(1-C8)+C9)*C6))*365/C10))*0.095-13860)/(((INPUTS!$C$6*C7)*C6)*((INPUTS!$C$28/((BOM!$E$22*(1-C8)+C9)*C6))*365/C10)),IF((((INPUTS!$C$6*C7)*C6)*((INPUTS!$C$28/((BOM!$E$22*(1-C8)+C9)*C6))*365/C10))&lt;=1800000,((((INPUTS!$C$6*C7)*C6)*((INPUTS!$C$28/((BOM!$E$22*(1-C8)+C9)*C6))*365/C10))*0.107-22500)/(((INPUTS!$C$6*C7)*C6)*((INPUTS!$C$28/((BOM!$E$22*(1-C8)+C9)*C6))*365/C10)),IF((((INPUTS!$C$6*C7)*C6)*((INPUTS!$C$28/((BOM!$E$22*(1-C8)+C9)*C6))*365/C10))&lt;=3600000,((((INPUTS!$C$6*C7)*C6)*((INPUTS!$C$28/((BOM!$E$22*(1-C8)+C9)*C6))*365/C10))*0.143-87300)/(((INPUTS!$C$6*C7)*C6)*((INPUTS!$C$28/((BOM!$E$22*(1-C8)+C9)*C6))*365/C10)),((((INPUTS!$C$6*C7)*C6)*((INPUTS!$C$28/((BOM!$E$22*(1-C8)+C9)*C6))*365/C10))*0.19-378000)/(((INPUTS!$C$6*C7)*C6)*((INPUTS!$C$28/((BOM!$E$22*(1-C8)+C9)*C6))*365/C10)))))))))-MIN(((INPUTS!$C$6*C7)*C6)*INPUTS!$C$25,INPUTS!$C$26))/((INPUTS!$C$6*C7)*C6))</f>
        <v/>
      </c>
      <c r="D18" s="162">
        <f>IF(((INPUTS!$C$6*D7)*D6)=0,0,(((INPUTS!$C$6*D7)*D6)-((BOM!$E$22*(1-D8)+D9)*D6)-((INPUTS!$C$6*D7)*D6)*(IF((((INPUTS!$C$6*D7)*D6)*((INPUTS!$C$28/((BOM!$E$22*(1-D8)+D9)*D6))*365/D10))&lt;=0,0.04,IF((((INPUTS!$C$6*D7)*D6)*((INPUTS!$C$28/((BOM!$E$22*(1-D8)+D9)*D6))*365/D10))&lt;=180000,0.04,IF((((INPUTS!$C$6*D7)*D6)*((INPUTS!$C$28/((BOM!$E$22*(1-D8)+D9)*D6))*365/D10))&lt;=360000,((((INPUTS!$C$6*D7)*D6)*((INPUTS!$C$28/((BOM!$E$22*(1-D8)+D9)*D6))*365/D10))*0.073-5940)/(((INPUTS!$C$6*D7)*D6)*((INPUTS!$C$28/((BOM!$E$22*(1-D8)+D9)*D6))*365/D10)),IF((((INPUTS!$C$6*D7)*D6)*((INPUTS!$C$28/((BOM!$E$22*(1-D8)+D9)*D6))*365/D10))&lt;=720000,((((INPUTS!$C$6*D7)*D6)*((INPUTS!$C$28/((BOM!$E$22*(1-D8)+D9)*D6))*365/D10))*0.095-13860)/(((INPUTS!$C$6*D7)*D6)*((INPUTS!$C$28/((BOM!$E$22*(1-D8)+D9)*D6))*365/D10)),IF((((INPUTS!$C$6*D7)*D6)*((INPUTS!$C$28/((BOM!$E$22*(1-D8)+D9)*D6))*365/D10))&lt;=1800000,((((INPUTS!$C$6*D7)*D6)*((INPUTS!$C$28/((BOM!$E$22*(1-D8)+D9)*D6))*365/D10))*0.107-22500)/(((INPUTS!$C$6*D7)*D6)*((INPUTS!$C$28/((BOM!$E$22*(1-D8)+D9)*D6))*365/D10)),IF((((INPUTS!$C$6*D7)*D6)*((INPUTS!$C$28/((BOM!$E$22*(1-D8)+D9)*D6))*365/D10))&lt;=3600000,((((INPUTS!$C$6*D7)*D6)*((INPUTS!$C$28/((BOM!$E$22*(1-D8)+D9)*D6))*365/D10))*0.143-87300)/(((INPUTS!$C$6*D7)*D6)*((INPUTS!$C$28/((BOM!$E$22*(1-D8)+D9)*D6))*365/D10)),((((INPUTS!$C$6*D7)*D6)*((INPUTS!$C$28/((BOM!$E$22*(1-D8)+D9)*D6))*365/D10))*0.19-378000)/(((INPUTS!$C$6*D7)*D6)*((INPUTS!$C$28/((BOM!$E$22*(1-D8)+D9)*D6))*365/D10)))))))))-MIN(((INPUTS!$C$6*D7)*D6)*INPUTS!$C$25,INPUTS!$C$26))/((INPUTS!$C$6*D7)*D6))</f>
        <v/>
      </c>
      <c r="E18" s="162">
        <f>IF(((INPUTS!$C$6*E7)*E6)=0,0,(((INPUTS!$C$6*E7)*E6)-((BOM!$E$22*(1-E8)+E9)*E6)-((INPUTS!$C$6*E7)*E6)*(IF((((INPUTS!$C$6*E7)*E6)*((INPUTS!$C$28/((BOM!$E$22*(1-E8)+E9)*E6))*365/E10))&lt;=0,0.04,IF((((INPUTS!$C$6*E7)*E6)*((INPUTS!$C$28/((BOM!$E$22*(1-E8)+E9)*E6))*365/E10))&lt;=180000,0.04,IF((((INPUTS!$C$6*E7)*E6)*((INPUTS!$C$28/((BOM!$E$22*(1-E8)+E9)*E6))*365/E10))&lt;=360000,((((INPUTS!$C$6*E7)*E6)*((INPUTS!$C$28/((BOM!$E$22*(1-E8)+E9)*E6))*365/E10))*0.073-5940)/(((INPUTS!$C$6*E7)*E6)*((INPUTS!$C$28/((BOM!$E$22*(1-E8)+E9)*E6))*365/E10)),IF((((INPUTS!$C$6*E7)*E6)*((INPUTS!$C$28/((BOM!$E$22*(1-E8)+E9)*E6))*365/E10))&lt;=720000,((((INPUTS!$C$6*E7)*E6)*((INPUTS!$C$28/((BOM!$E$22*(1-E8)+E9)*E6))*365/E10))*0.095-13860)/(((INPUTS!$C$6*E7)*E6)*((INPUTS!$C$28/((BOM!$E$22*(1-E8)+E9)*E6))*365/E10)),IF((((INPUTS!$C$6*E7)*E6)*((INPUTS!$C$28/((BOM!$E$22*(1-E8)+E9)*E6))*365/E10))&lt;=1800000,((((INPUTS!$C$6*E7)*E6)*((INPUTS!$C$28/((BOM!$E$22*(1-E8)+E9)*E6))*365/E10))*0.107-22500)/(((INPUTS!$C$6*E7)*E6)*((INPUTS!$C$28/((BOM!$E$22*(1-E8)+E9)*E6))*365/E10)),IF((((INPUTS!$C$6*E7)*E6)*((INPUTS!$C$28/((BOM!$E$22*(1-E8)+E9)*E6))*365/E10))&lt;=3600000,((((INPUTS!$C$6*E7)*E6)*((INPUTS!$C$28/((BOM!$E$22*(1-E8)+E9)*E6))*365/E10))*0.143-87300)/(((INPUTS!$C$6*E7)*E6)*((INPUTS!$C$28/((BOM!$E$22*(1-E8)+E9)*E6))*365/E10)),((((INPUTS!$C$6*E7)*E6)*((INPUTS!$C$28/((BOM!$E$22*(1-E8)+E9)*E6))*365/E10))*0.19-378000)/(((INPUTS!$C$6*E7)*E6)*((INPUTS!$C$28/((BOM!$E$22*(1-E8)+E9)*E6))*365/E10)))))))))-MIN(((INPUTS!$C$6*E7)*E6)*INPUTS!$C$25,INPUTS!$C$26))/((INPUTS!$C$6*E7)*E6))</f>
        <v/>
      </c>
      <c r="F18" s="162">
        <f>IF(((INPUTS!$C$6*F7)*F6)=0,0,(((INPUTS!$C$6*F7)*F6)-((BOM!$E$22*(1-F8)+F9)*F6)-((INPUTS!$C$6*F7)*F6)*(IF((((INPUTS!$C$6*F7)*F6)*((INPUTS!$C$28/((BOM!$E$22*(1-F8)+F9)*F6))*365/F10))&lt;=0,0.04,IF((((INPUTS!$C$6*F7)*F6)*((INPUTS!$C$28/((BOM!$E$22*(1-F8)+F9)*F6))*365/F10))&lt;=180000,0.04,IF((((INPUTS!$C$6*F7)*F6)*((INPUTS!$C$28/((BOM!$E$22*(1-F8)+F9)*F6))*365/F10))&lt;=360000,((((INPUTS!$C$6*F7)*F6)*((INPUTS!$C$28/((BOM!$E$22*(1-F8)+F9)*F6))*365/F10))*0.073-5940)/(((INPUTS!$C$6*F7)*F6)*((INPUTS!$C$28/((BOM!$E$22*(1-F8)+F9)*F6))*365/F10)),IF((((INPUTS!$C$6*F7)*F6)*((INPUTS!$C$28/((BOM!$E$22*(1-F8)+F9)*F6))*365/F10))&lt;=720000,((((INPUTS!$C$6*F7)*F6)*((INPUTS!$C$28/((BOM!$E$22*(1-F8)+F9)*F6))*365/F10))*0.095-13860)/(((INPUTS!$C$6*F7)*F6)*((INPUTS!$C$28/((BOM!$E$22*(1-F8)+F9)*F6))*365/F10)),IF((((INPUTS!$C$6*F7)*F6)*((INPUTS!$C$28/((BOM!$E$22*(1-F8)+F9)*F6))*365/F10))&lt;=1800000,((((INPUTS!$C$6*F7)*F6)*((INPUTS!$C$28/((BOM!$E$22*(1-F8)+F9)*F6))*365/F10))*0.107-22500)/(((INPUTS!$C$6*F7)*F6)*((INPUTS!$C$28/((BOM!$E$22*(1-F8)+F9)*F6))*365/F10)),IF((((INPUTS!$C$6*F7)*F6)*((INPUTS!$C$28/((BOM!$E$22*(1-F8)+F9)*F6))*365/F10))&lt;=3600000,((((INPUTS!$C$6*F7)*F6)*((INPUTS!$C$28/((BOM!$E$22*(1-F8)+F9)*F6))*365/F10))*0.143-87300)/(((INPUTS!$C$6*F7)*F6)*((INPUTS!$C$28/((BOM!$E$22*(1-F8)+F9)*F6))*365/F10)),((((INPUTS!$C$6*F7)*F6)*((INPUTS!$C$28/((BOM!$E$22*(1-F8)+F9)*F6))*365/F10))*0.19-378000)/(((INPUTS!$C$6*F7)*F6)*((INPUTS!$C$28/((BOM!$E$22*(1-F8)+F9)*F6))*365/F10)))))))))-MIN(((INPUTS!$C$6*F7)*F6)*INPUTS!$C$25,INPUTS!$C$26))/((INPUTS!$C$6*F7)*F6))</f>
        <v/>
      </c>
      <c r="G18" s="162">
        <f>IF(((INPUTS!$C$6*G7)*G6)=0,0,(((INPUTS!$C$6*G7)*G6)-((BOM!$E$22*(1-G8)+G9)*G6)-((INPUTS!$C$6*G7)*G6)*(IF((((INPUTS!$C$6*G7)*G6)*((INPUTS!$C$28/((BOM!$E$22*(1-G8)+G9)*G6))*365/G10))&lt;=0,0.04,IF((((INPUTS!$C$6*G7)*G6)*((INPUTS!$C$28/((BOM!$E$22*(1-G8)+G9)*G6))*365/G10))&lt;=180000,0.04,IF((((INPUTS!$C$6*G7)*G6)*((INPUTS!$C$28/((BOM!$E$22*(1-G8)+G9)*G6))*365/G10))&lt;=360000,((((INPUTS!$C$6*G7)*G6)*((INPUTS!$C$28/((BOM!$E$22*(1-G8)+G9)*G6))*365/G10))*0.073-5940)/(((INPUTS!$C$6*G7)*G6)*((INPUTS!$C$28/((BOM!$E$22*(1-G8)+G9)*G6))*365/G10)),IF((((INPUTS!$C$6*G7)*G6)*((INPUTS!$C$28/((BOM!$E$22*(1-G8)+G9)*G6))*365/G10))&lt;=720000,((((INPUTS!$C$6*G7)*G6)*((INPUTS!$C$28/((BOM!$E$22*(1-G8)+G9)*G6))*365/G10))*0.095-13860)/(((INPUTS!$C$6*G7)*G6)*((INPUTS!$C$28/((BOM!$E$22*(1-G8)+G9)*G6))*365/G10)),IF((((INPUTS!$C$6*G7)*G6)*((INPUTS!$C$28/((BOM!$E$22*(1-G8)+G9)*G6))*365/G10))&lt;=1800000,((((INPUTS!$C$6*G7)*G6)*((INPUTS!$C$28/((BOM!$E$22*(1-G8)+G9)*G6))*365/G10))*0.107-22500)/(((INPUTS!$C$6*G7)*G6)*((INPUTS!$C$28/((BOM!$E$22*(1-G8)+G9)*G6))*365/G10)),IF((((INPUTS!$C$6*G7)*G6)*((INPUTS!$C$28/((BOM!$E$22*(1-G8)+G9)*G6))*365/G10))&lt;=3600000,((((INPUTS!$C$6*G7)*G6)*((INPUTS!$C$28/((BOM!$E$22*(1-G8)+G9)*G6))*365/G10))*0.143-87300)/(((INPUTS!$C$6*G7)*G6)*((INPUTS!$C$28/((BOM!$E$22*(1-G8)+G9)*G6))*365/G10)),((((INPUTS!$C$6*G7)*G6)*((INPUTS!$C$28/((BOM!$E$22*(1-G8)+G9)*G6))*365/G10))*0.19-378000)/(((INPUTS!$C$6*G7)*G6)*((INPUTS!$C$28/((BOM!$E$22*(1-G8)+G9)*G6))*365/G10)))))))))-MIN(((INPUTS!$C$6*G7)*G6)*INPUTS!$C$25,INPUTS!$C$26))/((INPUTS!$C$6*G7)*G6))</f>
        <v/>
      </c>
      <c r="H18" s="162">
        <f>IF(((INPUTS!$C$6*H7)*H6)=0,0,(((INPUTS!$C$6*H7)*H6)-((BOM!$E$22*(1-H8)+H9)*H6)-((INPUTS!$C$6*H7)*H6)*(IF((((INPUTS!$C$6*H7)*H6)*((INPUTS!$C$28/((BOM!$E$22*(1-H8)+H9)*H6))*365/H10))&lt;=0,0.04,IF((((INPUTS!$C$6*H7)*H6)*((INPUTS!$C$28/((BOM!$E$22*(1-H8)+H9)*H6))*365/H10))&lt;=180000,0.04,IF((((INPUTS!$C$6*H7)*H6)*((INPUTS!$C$28/((BOM!$E$22*(1-H8)+H9)*H6))*365/H10))&lt;=360000,((((INPUTS!$C$6*H7)*H6)*((INPUTS!$C$28/((BOM!$E$22*(1-H8)+H9)*H6))*365/H10))*0.073-5940)/(((INPUTS!$C$6*H7)*H6)*((INPUTS!$C$28/((BOM!$E$22*(1-H8)+H9)*H6))*365/H10)),IF((((INPUTS!$C$6*H7)*H6)*((INPUTS!$C$28/((BOM!$E$22*(1-H8)+H9)*H6))*365/H10))&lt;=720000,((((INPUTS!$C$6*H7)*H6)*((INPUTS!$C$28/((BOM!$E$22*(1-H8)+H9)*H6))*365/H10))*0.095-13860)/(((INPUTS!$C$6*H7)*H6)*((INPUTS!$C$28/((BOM!$E$22*(1-H8)+H9)*H6))*365/H10)),IF((((INPUTS!$C$6*H7)*H6)*((INPUTS!$C$28/((BOM!$E$22*(1-H8)+H9)*H6))*365/H10))&lt;=1800000,((((INPUTS!$C$6*H7)*H6)*((INPUTS!$C$28/((BOM!$E$22*(1-H8)+H9)*H6))*365/H10))*0.107-22500)/(((INPUTS!$C$6*H7)*H6)*((INPUTS!$C$28/((BOM!$E$22*(1-H8)+H9)*H6))*365/H10)),IF((((INPUTS!$C$6*H7)*H6)*((INPUTS!$C$28/((BOM!$E$22*(1-H8)+H9)*H6))*365/H10))&lt;=3600000,((((INPUTS!$C$6*H7)*H6)*((INPUTS!$C$28/((BOM!$E$22*(1-H8)+H9)*H6))*365/H10))*0.143-87300)/(((INPUTS!$C$6*H7)*H6)*((INPUTS!$C$28/((BOM!$E$22*(1-H8)+H9)*H6))*365/H10)),((((INPUTS!$C$6*H7)*H6)*((INPUTS!$C$28/((BOM!$E$22*(1-H8)+H9)*H6))*365/H10))*0.19-378000)/(((INPUTS!$C$6*H7)*H6)*((INPUTS!$C$28/((BOM!$E$22*(1-H8)+H9)*H6))*365/H10)))))))))-MIN(((INPUTS!$C$6*H7)*H6)*INPUTS!$C$25,INPUTS!$C$26))/((INPUTS!$C$6*H7)*H6))</f>
        <v/>
      </c>
    </row>
    <row r="19">
      <c r="B19" s="153" t="inlineStr">
        <is>
          <t>Net profit on the lot</t>
        </is>
      </c>
      <c r="C19" s="160">
        <f>(((INPUTS!$C$6*C7)*C6)-((BOM!$E$22*(1-C8)+C9)*C6)-((INPUTS!$C$6*C7)*C6)*(IF((((INPUTS!$C$6*C7)*C6)*((INPUTS!$C$28/((BOM!$E$22*(1-C8)+C9)*C6))*365/C10))&lt;=0,0.04,IF((((INPUTS!$C$6*C7)*C6)*((INPUTS!$C$28/((BOM!$E$22*(1-C8)+C9)*C6))*365/C10))&lt;=180000,0.04,IF((((INPUTS!$C$6*C7)*C6)*((INPUTS!$C$28/((BOM!$E$22*(1-C8)+C9)*C6))*365/C10))&lt;=360000,((((INPUTS!$C$6*C7)*C6)*((INPUTS!$C$28/((BOM!$E$22*(1-C8)+C9)*C6))*365/C10))*0.073-5940)/(((INPUTS!$C$6*C7)*C6)*((INPUTS!$C$28/((BOM!$E$22*(1-C8)+C9)*C6))*365/C10)),IF((((INPUTS!$C$6*C7)*C6)*((INPUTS!$C$28/((BOM!$E$22*(1-C8)+C9)*C6))*365/C10))&lt;=720000,((((INPUTS!$C$6*C7)*C6)*((INPUTS!$C$28/((BOM!$E$22*(1-C8)+C9)*C6))*365/C10))*0.095-13860)/(((INPUTS!$C$6*C7)*C6)*((INPUTS!$C$28/((BOM!$E$22*(1-C8)+C9)*C6))*365/C10)),IF((((INPUTS!$C$6*C7)*C6)*((INPUTS!$C$28/((BOM!$E$22*(1-C8)+C9)*C6))*365/C10))&lt;=1800000,((((INPUTS!$C$6*C7)*C6)*((INPUTS!$C$28/((BOM!$E$22*(1-C8)+C9)*C6))*365/C10))*0.107-22500)/(((INPUTS!$C$6*C7)*C6)*((INPUTS!$C$28/((BOM!$E$22*(1-C8)+C9)*C6))*365/C10)),IF((((INPUTS!$C$6*C7)*C6)*((INPUTS!$C$28/((BOM!$E$22*(1-C8)+C9)*C6))*365/C10))&lt;=3600000,((((INPUTS!$C$6*C7)*C6)*((INPUTS!$C$28/((BOM!$E$22*(1-C8)+C9)*C6))*365/C10))*0.143-87300)/(((INPUTS!$C$6*C7)*C6)*((INPUTS!$C$28/((BOM!$E$22*(1-C8)+C9)*C6))*365/C10)),((((INPUTS!$C$6*C7)*C6)*((INPUTS!$C$28/((BOM!$E$22*(1-C8)+C9)*C6))*365/C10))*0.19-378000)/(((INPUTS!$C$6*C7)*C6)*((INPUTS!$C$28/((BOM!$E$22*(1-C8)+C9)*C6))*365/C10)))))))))-MIN(((INPUTS!$C$6*C7)*C6)*INPUTS!$C$25,INPUTS!$C$26))</f>
        <v/>
      </c>
      <c r="D19" s="160">
        <f>(((INPUTS!$C$6*D7)*D6)-((BOM!$E$22*(1-D8)+D9)*D6)-((INPUTS!$C$6*D7)*D6)*(IF((((INPUTS!$C$6*D7)*D6)*((INPUTS!$C$28/((BOM!$E$22*(1-D8)+D9)*D6))*365/D10))&lt;=0,0.04,IF((((INPUTS!$C$6*D7)*D6)*((INPUTS!$C$28/((BOM!$E$22*(1-D8)+D9)*D6))*365/D10))&lt;=180000,0.04,IF((((INPUTS!$C$6*D7)*D6)*((INPUTS!$C$28/((BOM!$E$22*(1-D8)+D9)*D6))*365/D10))&lt;=360000,((((INPUTS!$C$6*D7)*D6)*((INPUTS!$C$28/((BOM!$E$22*(1-D8)+D9)*D6))*365/D10))*0.073-5940)/(((INPUTS!$C$6*D7)*D6)*((INPUTS!$C$28/((BOM!$E$22*(1-D8)+D9)*D6))*365/D10)),IF((((INPUTS!$C$6*D7)*D6)*((INPUTS!$C$28/((BOM!$E$22*(1-D8)+D9)*D6))*365/D10))&lt;=720000,((((INPUTS!$C$6*D7)*D6)*((INPUTS!$C$28/((BOM!$E$22*(1-D8)+D9)*D6))*365/D10))*0.095-13860)/(((INPUTS!$C$6*D7)*D6)*((INPUTS!$C$28/((BOM!$E$22*(1-D8)+D9)*D6))*365/D10)),IF((((INPUTS!$C$6*D7)*D6)*((INPUTS!$C$28/((BOM!$E$22*(1-D8)+D9)*D6))*365/D10))&lt;=1800000,((((INPUTS!$C$6*D7)*D6)*((INPUTS!$C$28/((BOM!$E$22*(1-D8)+D9)*D6))*365/D10))*0.107-22500)/(((INPUTS!$C$6*D7)*D6)*((INPUTS!$C$28/((BOM!$E$22*(1-D8)+D9)*D6))*365/D10)),IF((((INPUTS!$C$6*D7)*D6)*((INPUTS!$C$28/((BOM!$E$22*(1-D8)+D9)*D6))*365/D10))&lt;=3600000,((((INPUTS!$C$6*D7)*D6)*((INPUTS!$C$28/((BOM!$E$22*(1-D8)+D9)*D6))*365/D10))*0.143-87300)/(((INPUTS!$C$6*D7)*D6)*((INPUTS!$C$28/((BOM!$E$22*(1-D8)+D9)*D6))*365/D10)),((((INPUTS!$C$6*D7)*D6)*((INPUTS!$C$28/((BOM!$E$22*(1-D8)+D9)*D6))*365/D10))*0.19-378000)/(((INPUTS!$C$6*D7)*D6)*((INPUTS!$C$28/((BOM!$E$22*(1-D8)+D9)*D6))*365/D10)))))))))-MIN(((INPUTS!$C$6*D7)*D6)*INPUTS!$C$25,INPUTS!$C$26))</f>
        <v/>
      </c>
      <c r="E19" s="160">
        <f>(((INPUTS!$C$6*E7)*E6)-((BOM!$E$22*(1-E8)+E9)*E6)-((INPUTS!$C$6*E7)*E6)*(IF((((INPUTS!$C$6*E7)*E6)*((INPUTS!$C$28/((BOM!$E$22*(1-E8)+E9)*E6))*365/E10))&lt;=0,0.04,IF((((INPUTS!$C$6*E7)*E6)*((INPUTS!$C$28/((BOM!$E$22*(1-E8)+E9)*E6))*365/E10))&lt;=180000,0.04,IF((((INPUTS!$C$6*E7)*E6)*((INPUTS!$C$28/((BOM!$E$22*(1-E8)+E9)*E6))*365/E10))&lt;=360000,((((INPUTS!$C$6*E7)*E6)*((INPUTS!$C$28/((BOM!$E$22*(1-E8)+E9)*E6))*365/E10))*0.073-5940)/(((INPUTS!$C$6*E7)*E6)*((INPUTS!$C$28/((BOM!$E$22*(1-E8)+E9)*E6))*365/E10)),IF((((INPUTS!$C$6*E7)*E6)*((INPUTS!$C$28/((BOM!$E$22*(1-E8)+E9)*E6))*365/E10))&lt;=720000,((((INPUTS!$C$6*E7)*E6)*((INPUTS!$C$28/((BOM!$E$22*(1-E8)+E9)*E6))*365/E10))*0.095-13860)/(((INPUTS!$C$6*E7)*E6)*((INPUTS!$C$28/((BOM!$E$22*(1-E8)+E9)*E6))*365/E10)),IF((((INPUTS!$C$6*E7)*E6)*((INPUTS!$C$28/((BOM!$E$22*(1-E8)+E9)*E6))*365/E10))&lt;=1800000,((((INPUTS!$C$6*E7)*E6)*((INPUTS!$C$28/((BOM!$E$22*(1-E8)+E9)*E6))*365/E10))*0.107-22500)/(((INPUTS!$C$6*E7)*E6)*((INPUTS!$C$28/((BOM!$E$22*(1-E8)+E9)*E6))*365/E10)),IF((((INPUTS!$C$6*E7)*E6)*((INPUTS!$C$28/((BOM!$E$22*(1-E8)+E9)*E6))*365/E10))&lt;=3600000,((((INPUTS!$C$6*E7)*E6)*((INPUTS!$C$28/((BOM!$E$22*(1-E8)+E9)*E6))*365/E10))*0.143-87300)/(((INPUTS!$C$6*E7)*E6)*((INPUTS!$C$28/((BOM!$E$22*(1-E8)+E9)*E6))*365/E10)),((((INPUTS!$C$6*E7)*E6)*((INPUTS!$C$28/((BOM!$E$22*(1-E8)+E9)*E6))*365/E10))*0.19-378000)/(((INPUTS!$C$6*E7)*E6)*((INPUTS!$C$28/((BOM!$E$22*(1-E8)+E9)*E6))*365/E10)))))))))-MIN(((INPUTS!$C$6*E7)*E6)*INPUTS!$C$25,INPUTS!$C$26))</f>
        <v/>
      </c>
      <c r="F19" s="160">
        <f>(((INPUTS!$C$6*F7)*F6)-((BOM!$E$22*(1-F8)+F9)*F6)-((INPUTS!$C$6*F7)*F6)*(IF((((INPUTS!$C$6*F7)*F6)*((INPUTS!$C$28/((BOM!$E$22*(1-F8)+F9)*F6))*365/F10))&lt;=0,0.04,IF((((INPUTS!$C$6*F7)*F6)*((INPUTS!$C$28/((BOM!$E$22*(1-F8)+F9)*F6))*365/F10))&lt;=180000,0.04,IF((((INPUTS!$C$6*F7)*F6)*((INPUTS!$C$28/((BOM!$E$22*(1-F8)+F9)*F6))*365/F10))&lt;=360000,((((INPUTS!$C$6*F7)*F6)*((INPUTS!$C$28/((BOM!$E$22*(1-F8)+F9)*F6))*365/F10))*0.073-5940)/(((INPUTS!$C$6*F7)*F6)*((INPUTS!$C$28/((BOM!$E$22*(1-F8)+F9)*F6))*365/F10)),IF((((INPUTS!$C$6*F7)*F6)*((INPUTS!$C$28/((BOM!$E$22*(1-F8)+F9)*F6))*365/F10))&lt;=720000,((((INPUTS!$C$6*F7)*F6)*((INPUTS!$C$28/((BOM!$E$22*(1-F8)+F9)*F6))*365/F10))*0.095-13860)/(((INPUTS!$C$6*F7)*F6)*((INPUTS!$C$28/((BOM!$E$22*(1-F8)+F9)*F6))*365/F10)),IF((((INPUTS!$C$6*F7)*F6)*((INPUTS!$C$28/((BOM!$E$22*(1-F8)+F9)*F6))*365/F10))&lt;=1800000,((((INPUTS!$C$6*F7)*F6)*((INPUTS!$C$28/((BOM!$E$22*(1-F8)+F9)*F6))*365/F10))*0.107-22500)/(((INPUTS!$C$6*F7)*F6)*((INPUTS!$C$28/((BOM!$E$22*(1-F8)+F9)*F6))*365/F10)),IF((((INPUTS!$C$6*F7)*F6)*((INPUTS!$C$28/((BOM!$E$22*(1-F8)+F9)*F6))*365/F10))&lt;=3600000,((((INPUTS!$C$6*F7)*F6)*((INPUTS!$C$28/((BOM!$E$22*(1-F8)+F9)*F6))*365/F10))*0.143-87300)/(((INPUTS!$C$6*F7)*F6)*((INPUTS!$C$28/((BOM!$E$22*(1-F8)+F9)*F6))*365/F10)),((((INPUTS!$C$6*F7)*F6)*((INPUTS!$C$28/((BOM!$E$22*(1-F8)+F9)*F6))*365/F10))*0.19-378000)/(((INPUTS!$C$6*F7)*F6)*((INPUTS!$C$28/((BOM!$E$22*(1-F8)+F9)*F6))*365/F10)))))))))-MIN(((INPUTS!$C$6*F7)*F6)*INPUTS!$C$25,INPUTS!$C$26))</f>
        <v/>
      </c>
      <c r="G19" s="160">
        <f>(((INPUTS!$C$6*G7)*G6)-((BOM!$E$22*(1-G8)+G9)*G6)-((INPUTS!$C$6*G7)*G6)*(IF((((INPUTS!$C$6*G7)*G6)*((INPUTS!$C$28/((BOM!$E$22*(1-G8)+G9)*G6))*365/G10))&lt;=0,0.04,IF((((INPUTS!$C$6*G7)*G6)*((INPUTS!$C$28/((BOM!$E$22*(1-G8)+G9)*G6))*365/G10))&lt;=180000,0.04,IF((((INPUTS!$C$6*G7)*G6)*((INPUTS!$C$28/((BOM!$E$22*(1-G8)+G9)*G6))*365/G10))&lt;=360000,((((INPUTS!$C$6*G7)*G6)*((INPUTS!$C$28/((BOM!$E$22*(1-G8)+G9)*G6))*365/G10))*0.073-5940)/(((INPUTS!$C$6*G7)*G6)*((INPUTS!$C$28/((BOM!$E$22*(1-G8)+G9)*G6))*365/G10)),IF((((INPUTS!$C$6*G7)*G6)*((INPUTS!$C$28/((BOM!$E$22*(1-G8)+G9)*G6))*365/G10))&lt;=720000,((((INPUTS!$C$6*G7)*G6)*((INPUTS!$C$28/((BOM!$E$22*(1-G8)+G9)*G6))*365/G10))*0.095-13860)/(((INPUTS!$C$6*G7)*G6)*((INPUTS!$C$28/((BOM!$E$22*(1-G8)+G9)*G6))*365/G10)),IF((((INPUTS!$C$6*G7)*G6)*((INPUTS!$C$28/((BOM!$E$22*(1-G8)+G9)*G6))*365/G10))&lt;=1800000,((((INPUTS!$C$6*G7)*G6)*((INPUTS!$C$28/((BOM!$E$22*(1-G8)+G9)*G6))*365/G10))*0.107-22500)/(((INPUTS!$C$6*G7)*G6)*((INPUTS!$C$28/((BOM!$E$22*(1-G8)+G9)*G6))*365/G10)),IF((((INPUTS!$C$6*G7)*G6)*((INPUTS!$C$28/((BOM!$E$22*(1-G8)+G9)*G6))*365/G10))&lt;=3600000,((((INPUTS!$C$6*G7)*G6)*((INPUTS!$C$28/((BOM!$E$22*(1-G8)+G9)*G6))*365/G10))*0.143-87300)/(((INPUTS!$C$6*G7)*G6)*((INPUTS!$C$28/((BOM!$E$22*(1-G8)+G9)*G6))*365/G10)),((((INPUTS!$C$6*G7)*G6)*((INPUTS!$C$28/((BOM!$E$22*(1-G8)+G9)*G6))*365/G10))*0.19-378000)/(((INPUTS!$C$6*G7)*G6)*((INPUTS!$C$28/((BOM!$E$22*(1-G8)+G9)*G6))*365/G10)))))))))-MIN(((INPUTS!$C$6*G7)*G6)*INPUTS!$C$25,INPUTS!$C$26))</f>
        <v/>
      </c>
      <c r="H19" s="160">
        <f>(((INPUTS!$C$6*H7)*H6)-((BOM!$E$22*(1-H8)+H9)*H6)-((INPUTS!$C$6*H7)*H6)*(IF((((INPUTS!$C$6*H7)*H6)*((INPUTS!$C$28/((BOM!$E$22*(1-H8)+H9)*H6))*365/H10))&lt;=0,0.04,IF((((INPUTS!$C$6*H7)*H6)*((INPUTS!$C$28/((BOM!$E$22*(1-H8)+H9)*H6))*365/H10))&lt;=180000,0.04,IF((((INPUTS!$C$6*H7)*H6)*((INPUTS!$C$28/((BOM!$E$22*(1-H8)+H9)*H6))*365/H10))&lt;=360000,((((INPUTS!$C$6*H7)*H6)*((INPUTS!$C$28/((BOM!$E$22*(1-H8)+H9)*H6))*365/H10))*0.073-5940)/(((INPUTS!$C$6*H7)*H6)*((INPUTS!$C$28/((BOM!$E$22*(1-H8)+H9)*H6))*365/H10)),IF((((INPUTS!$C$6*H7)*H6)*((INPUTS!$C$28/((BOM!$E$22*(1-H8)+H9)*H6))*365/H10))&lt;=720000,((((INPUTS!$C$6*H7)*H6)*((INPUTS!$C$28/((BOM!$E$22*(1-H8)+H9)*H6))*365/H10))*0.095-13860)/(((INPUTS!$C$6*H7)*H6)*((INPUTS!$C$28/((BOM!$E$22*(1-H8)+H9)*H6))*365/H10)),IF((((INPUTS!$C$6*H7)*H6)*((INPUTS!$C$28/((BOM!$E$22*(1-H8)+H9)*H6))*365/H10))&lt;=1800000,((((INPUTS!$C$6*H7)*H6)*((INPUTS!$C$28/((BOM!$E$22*(1-H8)+H9)*H6))*365/H10))*0.107-22500)/(((INPUTS!$C$6*H7)*H6)*((INPUTS!$C$28/((BOM!$E$22*(1-H8)+H9)*H6))*365/H10)),IF((((INPUTS!$C$6*H7)*H6)*((INPUTS!$C$28/((BOM!$E$22*(1-H8)+H9)*H6))*365/H10))&lt;=3600000,((((INPUTS!$C$6*H7)*H6)*((INPUTS!$C$28/((BOM!$E$22*(1-H8)+H9)*H6))*365/H10))*0.143-87300)/(((INPUTS!$C$6*H7)*H6)*((INPUTS!$C$28/((BOM!$E$22*(1-H8)+H9)*H6))*365/H10)),((((INPUTS!$C$6*H7)*H6)*((INPUTS!$C$28/((BOM!$E$22*(1-H8)+H9)*H6))*365/H10))*0.19-378000)/(((INPUTS!$C$6*H7)*H6)*((INPUTS!$C$28/((BOM!$E$22*(1-H8)+H9)*H6))*365/H10)))))))))-MIN(((INPUTS!$C$6*H7)*H6)*INPUTS!$C$25,INPUTS!$C$26))</f>
        <v/>
      </c>
    </row>
    <row r="21">
      <c r="B21" s="151" t="inlineStr">
        <is>
          <t>A YEAR OF LOTS LIKE THIS</t>
        </is>
      </c>
      <c r="C21" s="151" t="n"/>
      <c r="D21" s="151" t="n"/>
      <c r="E21" s="151" t="n"/>
      <c r="F21" s="151" t="n"/>
      <c r="G21" s="151" t="n"/>
      <c r="H21" s="151" t="n"/>
      <c r="I21" s="151" t="n"/>
    </row>
    <row r="22">
      <c r="B22" s="153" t="inlineStr">
        <is>
          <t>Lots the capital can actually carry</t>
        </is>
      </c>
      <c r="C22" s="163">
        <f>((INPUTS!$C$28/((BOM!$E$22*(1-C8)+C9)*C6))*365/C10)</f>
        <v/>
      </c>
      <c r="D22" s="163">
        <f>((INPUTS!$C$28/((BOM!$E$22*(1-D8)+D9)*D6))*365/D10)</f>
        <v/>
      </c>
      <c r="E22" s="163">
        <f>((INPUTS!$C$28/((BOM!$E$22*(1-E8)+E9)*E6))*365/E10)</f>
        <v/>
      </c>
      <c r="F22" s="163">
        <f>((INPUTS!$C$28/((BOM!$E$22*(1-F8)+F9)*F6))*365/F10)</f>
        <v/>
      </c>
      <c r="G22" s="163">
        <f>((INPUTS!$C$28/((BOM!$E$22*(1-G8)+G9)*G6))*365/G10)</f>
        <v/>
      </c>
      <c r="H22" s="163">
        <f>((INPUTS!$C$28/((BOM!$E$22*(1-H8)+H9)*H6))*365/H10)</f>
        <v/>
      </c>
      <c r="I22" s="155" t="inlineStr">
        <is>
          <t>Not an assumption: capital ÷ cash per lot × 365 ÷ float days.</t>
        </is>
      </c>
    </row>
    <row r="23">
      <c r="B23" s="153" t="inlineStr">
        <is>
          <t>Revenue for the year</t>
        </is>
      </c>
      <c r="C23" s="160">
        <f>(((INPUTS!$C$6*C7)*C6)*((INPUTS!$C$28/((BOM!$E$22*(1-C8)+C9)*C6))*365/C10))</f>
        <v/>
      </c>
      <c r="D23" s="160">
        <f>(((INPUTS!$C$6*D7)*D6)*((INPUTS!$C$28/((BOM!$E$22*(1-D8)+D9)*D6))*365/D10))</f>
        <v/>
      </c>
      <c r="E23" s="160">
        <f>(((INPUTS!$C$6*E7)*E6)*((INPUTS!$C$28/((BOM!$E$22*(1-E8)+E9)*E6))*365/E10))</f>
        <v/>
      </c>
      <c r="F23" s="160">
        <f>(((INPUTS!$C$6*F7)*F6)*((INPUTS!$C$28/((BOM!$E$22*(1-F8)+F9)*F6))*365/F10))</f>
        <v/>
      </c>
      <c r="G23" s="160">
        <f>(((INPUTS!$C$6*G7)*G6)*((INPUTS!$C$28/((BOM!$E$22*(1-G8)+G9)*G6))*365/G10))</f>
        <v/>
      </c>
      <c r="H23" s="160">
        <f>(((INPUTS!$C$6*H7)*H6)*((INPUTS!$C$28/((BOM!$E$22*(1-H8)+H9)*H6))*365/H10))</f>
        <v/>
      </c>
    </row>
    <row r="24">
      <c r="B24" s="153" t="inlineStr">
        <is>
          <t>Simples effective rate at that revenue</t>
        </is>
      </c>
      <c r="C24" s="164">
        <f>IF((((INPUTS!$C$6*C7)*C6)*((INPUTS!$C$28/((BOM!$E$22*(1-C8)+C9)*C6))*365/C10))&lt;=0,0.04,IF((((INPUTS!$C$6*C7)*C6)*((INPUTS!$C$28/((BOM!$E$22*(1-C8)+C9)*C6))*365/C10))&lt;=180000,0.04,IF((((INPUTS!$C$6*C7)*C6)*((INPUTS!$C$28/((BOM!$E$22*(1-C8)+C9)*C6))*365/C10))&lt;=360000,((((INPUTS!$C$6*C7)*C6)*((INPUTS!$C$28/((BOM!$E$22*(1-C8)+C9)*C6))*365/C10))*0.073-5940)/(((INPUTS!$C$6*C7)*C6)*((INPUTS!$C$28/((BOM!$E$22*(1-C8)+C9)*C6))*365/C10)),IF((((INPUTS!$C$6*C7)*C6)*((INPUTS!$C$28/((BOM!$E$22*(1-C8)+C9)*C6))*365/C10))&lt;=720000,((((INPUTS!$C$6*C7)*C6)*((INPUTS!$C$28/((BOM!$E$22*(1-C8)+C9)*C6))*365/C10))*0.095-13860)/(((INPUTS!$C$6*C7)*C6)*((INPUTS!$C$28/((BOM!$E$22*(1-C8)+C9)*C6))*365/C10)),IF((((INPUTS!$C$6*C7)*C6)*((INPUTS!$C$28/((BOM!$E$22*(1-C8)+C9)*C6))*365/C10))&lt;=1800000,((((INPUTS!$C$6*C7)*C6)*((INPUTS!$C$28/((BOM!$E$22*(1-C8)+C9)*C6))*365/C10))*0.107-22500)/(((INPUTS!$C$6*C7)*C6)*((INPUTS!$C$28/((BOM!$E$22*(1-C8)+C9)*C6))*365/C10)),IF((((INPUTS!$C$6*C7)*C6)*((INPUTS!$C$28/((BOM!$E$22*(1-C8)+C9)*C6))*365/C10))&lt;=3600000,((((INPUTS!$C$6*C7)*C6)*((INPUTS!$C$28/((BOM!$E$22*(1-C8)+C9)*C6))*365/C10))*0.143-87300)/(((INPUTS!$C$6*C7)*C6)*((INPUTS!$C$28/((BOM!$E$22*(1-C8)+C9)*C6))*365/C10)),((((INPUTS!$C$6*C7)*C6)*((INPUTS!$C$28/((BOM!$E$22*(1-C8)+C9)*C6))*365/C10))*0.19-378000)/(((INPUTS!$C$6*C7)*C6)*((INPUTS!$C$28/((BOM!$E$22*(1-C8)+C9)*C6))*365/C10))))))))</f>
        <v/>
      </c>
      <c r="D24" s="164">
        <f>IF((((INPUTS!$C$6*D7)*D6)*((INPUTS!$C$28/((BOM!$E$22*(1-D8)+D9)*D6))*365/D10))&lt;=0,0.04,IF((((INPUTS!$C$6*D7)*D6)*((INPUTS!$C$28/((BOM!$E$22*(1-D8)+D9)*D6))*365/D10))&lt;=180000,0.04,IF((((INPUTS!$C$6*D7)*D6)*((INPUTS!$C$28/((BOM!$E$22*(1-D8)+D9)*D6))*365/D10))&lt;=360000,((((INPUTS!$C$6*D7)*D6)*((INPUTS!$C$28/((BOM!$E$22*(1-D8)+D9)*D6))*365/D10))*0.073-5940)/(((INPUTS!$C$6*D7)*D6)*((INPUTS!$C$28/((BOM!$E$22*(1-D8)+D9)*D6))*365/D10)),IF((((INPUTS!$C$6*D7)*D6)*((INPUTS!$C$28/((BOM!$E$22*(1-D8)+D9)*D6))*365/D10))&lt;=720000,((((INPUTS!$C$6*D7)*D6)*((INPUTS!$C$28/((BOM!$E$22*(1-D8)+D9)*D6))*365/D10))*0.095-13860)/(((INPUTS!$C$6*D7)*D6)*((INPUTS!$C$28/((BOM!$E$22*(1-D8)+D9)*D6))*365/D10)),IF((((INPUTS!$C$6*D7)*D6)*((INPUTS!$C$28/((BOM!$E$22*(1-D8)+D9)*D6))*365/D10))&lt;=1800000,((((INPUTS!$C$6*D7)*D6)*((INPUTS!$C$28/((BOM!$E$22*(1-D8)+D9)*D6))*365/D10))*0.107-22500)/(((INPUTS!$C$6*D7)*D6)*((INPUTS!$C$28/((BOM!$E$22*(1-D8)+D9)*D6))*365/D10)),IF((((INPUTS!$C$6*D7)*D6)*((INPUTS!$C$28/((BOM!$E$22*(1-D8)+D9)*D6))*365/D10))&lt;=3600000,((((INPUTS!$C$6*D7)*D6)*((INPUTS!$C$28/((BOM!$E$22*(1-D8)+D9)*D6))*365/D10))*0.143-87300)/(((INPUTS!$C$6*D7)*D6)*((INPUTS!$C$28/((BOM!$E$22*(1-D8)+D9)*D6))*365/D10)),((((INPUTS!$C$6*D7)*D6)*((INPUTS!$C$28/((BOM!$E$22*(1-D8)+D9)*D6))*365/D10))*0.19-378000)/(((INPUTS!$C$6*D7)*D6)*((INPUTS!$C$28/((BOM!$E$22*(1-D8)+D9)*D6))*365/D10))))))))</f>
        <v/>
      </c>
      <c r="E24" s="164">
        <f>IF((((INPUTS!$C$6*E7)*E6)*((INPUTS!$C$28/((BOM!$E$22*(1-E8)+E9)*E6))*365/E10))&lt;=0,0.04,IF((((INPUTS!$C$6*E7)*E6)*((INPUTS!$C$28/((BOM!$E$22*(1-E8)+E9)*E6))*365/E10))&lt;=180000,0.04,IF((((INPUTS!$C$6*E7)*E6)*((INPUTS!$C$28/((BOM!$E$22*(1-E8)+E9)*E6))*365/E10))&lt;=360000,((((INPUTS!$C$6*E7)*E6)*((INPUTS!$C$28/((BOM!$E$22*(1-E8)+E9)*E6))*365/E10))*0.073-5940)/(((INPUTS!$C$6*E7)*E6)*((INPUTS!$C$28/((BOM!$E$22*(1-E8)+E9)*E6))*365/E10)),IF((((INPUTS!$C$6*E7)*E6)*((INPUTS!$C$28/((BOM!$E$22*(1-E8)+E9)*E6))*365/E10))&lt;=720000,((((INPUTS!$C$6*E7)*E6)*((INPUTS!$C$28/((BOM!$E$22*(1-E8)+E9)*E6))*365/E10))*0.095-13860)/(((INPUTS!$C$6*E7)*E6)*((INPUTS!$C$28/((BOM!$E$22*(1-E8)+E9)*E6))*365/E10)),IF((((INPUTS!$C$6*E7)*E6)*((INPUTS!$C$28/((BOM!$E$22*(1-E8)+E9)*E6))*365/E10))&lt;=1800000,((((INPUTS!$C$6*E7)*E6)*((INPUTS!$C$28/((BOM!$E$22*(1-E8)+E9)*E6))*365/E10))*0.107-22500)/(((INPUTS!$C$6*E7)*E6)*((INPUTS!$C$28/((BOM!$E$22*(1-E8)+E9)*E6))*365/E10)),IF((((INPUTS!$C$6*E7)*E6)*((INPUTS!$C$28/((BOM!$E$22*(1-E8)+E9)*E6))*365/E10))&lt;=3600000,((((INPUTS!$C$6*E7)*E6)*((INPUTS!$C$28/((BOM!$E$22*(1-E8)+E9)*E6))*365/E10))*0.143-87300)/(((INPUTS!$C$6*E7)*E6)*((INPUTS!$C$28/((BOM!$E$22*(1-E8)+E9)*E6))*365/E10)),((((INPUTS!$C$6*E7)*E6)*((INPUTS!$C$28/((BOM!$E$22*(1-E8)+E9)*E6))*365/E10))*0.19-378000)/(((INPUTS!$C$6*E7)*E6)*((INPUTS!$C$28/((BOM!$E$22*(1-E8)+E9)*E6))*365/E10))))))))</f>
        <v/>
      </c>
      <c r="F24" s="164">
        <f>IF((((INPUTS!$C$6*F7)*F6)*((INPUTS!$C$28/((BOM!$E$22*(1-F8)+F9)*F6))*365/F10))&lt;=0,0.04,IF((((INPUTS!$C$6*F7)*F6)*((INPUTS!$C$28/((BOM!$E$22*(1-F8)+F9)*F6))*365/F10))&lt;=180000,0.04,IF((((INPUTS!$C$6*F7)*F6)*((INPUTS!$C$28/((BOM!$E$22*(1-F8)+F9)*F6))*365/F10))&lt;=360000,((((INPUTS!$C$6*F7)*F6)*((INPUTS!$C$28/((BOM!$E$22*(1-F8)+F9)*F6))*365/F10))*0.073-5940)/(((INPUTS!$C$6*F7)*F6)*((INPUTS!$C$28/((BOM!$E$22*(1-F8)+F9)*F6))*365/F10)),IF((((INPUTS!$C$6*F7)*F6)*((INPUTS!$C$28/((BOM!$E$22*(1-F8)+F9)*F6))*365/F10))&lt;=720000,((((INPUTS!$C$6*F7)*F6)*((INPUTS!$C$28/((BOM!$E$22*(1-F8)+F9)*F6))*365/F10))*0.095-13860)/(((INPUTS!$C$6*F7)*F6)*((INPUTS!$C$28/((BOM!$E$22*(1-F8)+F9)*F6))*365/F10)),IF((((INPUTS!$C$6*F7)*F6)*((INPUTS!$C$28/((BOM!$E$22*(1-F8)+F9)*F6))*365/F10))&lt;=1800000,((((INPUTS!$C$6*F7)*F6)*((INPUTS!$C$28/((BOM!$E$22*(1-F8)+F9)*F6))*365/F10))*0.107-22500)/(((INPUTS!$C$6*F7)*F6)*((INPUTS!$C$28/((BOM!$E$22*(1-F8)+F9)*F6))*365/F10)),IF((((INPUTS!$C$6*F7)*F6)*((INPUTS!$C$28/((BOM!$E$22*(1-F8)+F9)*F6))*365/F10))&lt;=3600000,((((INPUTS!$C$6*F7)*F6)*((INPUTS!$C$28/((BOM!$E$22*(1-F8)+F9)*F6))*365/F10))*0.143-87300)/(((INPUTS!$C$6*F7)*F6)*((INPUTS!$C$28/((BOM!$E$22*(1-F8)+F9)*F6))*365/F10)),((((INPUTS!$C$6*F7)*F6)*((INPUTS!$C$28/((BOM!$E$22*(1-F8)+F9)*F6))*365/F10))*0.19-378000)/(((INPUTS!$C$6*F7)*F6)*((INPUTS!$C$28/((BOM!$E$22*(1-F8)+F9)*F6))*365/F10))))))))</f>
        <v/>
      </c>
      <c r="G24" s="164">
        <f>IF((((INPUTS!$C$6*G7)*G6)*((INPUTS!$C$28/((BOM!$E$22*(1-G8)+G9)*G6))*365/G10))&lt;=0,0.04,IF((((INPUTS!$C$6*G7)*G6)*((INPUTS!$C$28/((BOM!$E$22*(1-G8)+G9)*G6))*365/G10))&lt;=180000,0.04,IF((((INPUTS!$C$6*G7)*G6)*((INPUTS!$C$28/((BOM!$E$22*(1-G8)+G9)*G6))*365/G10))&lt;=360000,((((INPUTS!$C$6*G7)*G6)*((INPUTS!$C$28/((BOM!$E$22*(1-G8)+G9)*G6))*365/G10))*0.073-5940)/(((INPUTS!$C$6*G7)*G6)*((INPUTS!$C$28/((BOM!$E$22*(1-G8)+G9)*G6))*365/G10)),IF((((INPUTS!$C$6*G7)*G6)*((INPUTS!$C$28/((BOM!$E$22*(1-G8)+G9)*G6))*365/G10))&lt;=720000,((((INPUTS!$C$6*G7)*G6)*((INPUTS!$C$28/((BOM!$E$22*(1-G8)+G9)*G6))*365/G10))*0.095-13860)/(((INPUTS!$C$6*G7)*G6)*((INPUTS!$C$28/((BOM!$E$22*(1-G8)+G9)*G6))*365/G10)),IF((((INPUTS!$C$6*G7)*G6)*((INPUTS!$C$28/((BOM!$E$22*(1-G8)+G9)*G6))*365/G10))&lt;=1800000,((((INPUTS!$C$6*G7)*G6)*((INPUTS!$C$28/((BOM!$E$22*(1-G8)+G9)*G6))*365/G10))*0.107-22500)/(((INPUTS!$C$6*G7)*G6)*((INPUTS!$C$28/((BOM!$E$22*(1-G8)+G9)*G6))*365/G10)),IF((((INPUTS!$C$6*G7)*G6)*((INPUTS!$C$28/((BOM!$E$22*(1-G8)+G9)*G6))*365/G10))&lt;=3600000,((((INPUTS!$C$6*G7)*G6)*((INPUTS!$C$28/((BOM!$E$22*(1-G8)+G9)*G6))*365/G10))*0.143-87300)/(((INPUTS!$C$6*G7)*G6)*((INPUTS!$C$28/((BOM!$E$22*(1-G8)+G9)*G6))*365/G10)),((((INPUTS!$C$6*G7)*G6)*((INPUTS!$C$28/((BOM!$E$22*(1-G8)+G9)*G6))*365/G10))*0.19-378000)/(((INPUTS!$C$6*G7)*G6)*((INPUTS!$C$28/((BOM!$E$22*(1-G8)+G9)*G6))*365/G10))))))))</f>
        <v/>
      </c>
      <c r="H24" s="164">
        <f>IF((((INPUTS!$C$6*H7)*H6)*((INPUTS!$C$28/((BOM!$E$22*(1-H8)+H9)*H6))*365/H10))&lt;=0,0.04,IF((((INPUTS!$C$6*H7)*H6)*((INPUTS!$C$28/((BOM!$E$22*(1-H8)+H9)*H6))*365/H10))&lt;=180000,0.04,IF((((INPUTS!$C$6*H7)*H6)*((INPUTS!$C$28/((BOM!$E$22*(1-H8)+H9)*H6))*365/H10))&lt;=360000,((((INPUTS!$C$6*H7)*H6)*((INPUTS!$C$28/((BOM!$E$22*(1-H8)+H9)*H6))*365/H10))*0.073-5940)/(((INPUTS!$C$6*H7)*H6)*((INPUTS!$C$28/((BOM!$E$22*(1-H8)+H9)*H6))*365/H10)),IF((((INPUTS!$C$6*H7)*H6)*((INPUTS!$C$28/((BOM!$E$22*(1-H8)+H9)*H6))*365/H10))&lt;=720000,((((INPUTS!$C$6*H7)*H6)*((INPUTS!$C$28/((BOM!$E$22*(1-H8)+H9)*H6))*365/H10))*0.095-13860)/(((INPUTS!$C$6*H7)*H6)*((INPUTS!$C$28/((BOM!$E$22*(1-H8)+H9)*H6))*365/H10)),IF((((INPUTS!$C$6*H7)*H6)*((INPUTS!$C$28/((BOM!$E$22*(1-H8)+H9)*H6))*365/H10))&lt;=1800000,((((INPUTS!$C$6*H7)*H6)*((INPUTS!$C$28/((BOM!$E$22*(1-H8)+H9)*H6))*365/H10))*0.107-22500)/(((INPUTS!$C$6*H7)*H6)*((INPUTS!$C$28/((BOM!$E$22*(1-H8)+H9)*H6))*365/H10)),IF((((INPUTS!$C$6*H7)*H6)*((INPUTS!$C$28/((BOM!$E$22*(1-H8)+H9)*H6))*365/H10))&lt;=3600000,((((INPUTS!$C$6*H7)*H6)*((INPUTS!$C$28/((BOM!$E$22*(1-H8)+H9)*H6))*365/H10))*0.143-87300)/(((INPUTS!$C$6*H7)*H6)*((INPUTS!$C$28/((BOM!$E$22*(1-H8)+H9)*H6))*365/H10)),((((INPUTS!$C$6*H7)*H6)*((INPUTS!$C$28/((BOM!$E$22*(1-H8)+H9)*H6))*365/H10))*0.19-378000)/(((INPUTS!$C$6*H7)*H6)*((INPUTS!$C$28/((BOM!$E$22*(1-H8)+H9)*H6))*365/H10))))))))</f>
        <v/>
      </c>
      <c r="I24" s="155" t="inlineStr">
        <is>
          <t>Rises with revenue — the columns that scale pay a higher rate, and that is already deducted below.</t>
        </is>
      </c>
    </row>
    <row r="25">
      <c r="B25" s="161" t="inlineStr">
        <is>
          <t>TAKE-HOME for the year, after fixed costs</t>
        </is>
      </c>
      <c r="C25" s="165">
        <f>((((INPUTS!$C$6*C7)*C6)-((BOM!$E$22*(1-C8)+C9)*C6)-((INPUTS!$C$6*C7)*C6)*(IF((((INPUTS!$C$6*C7)*C6)*((INPUTS!$C$28/((BOM!$E$22*(1-C8)+C9)*C6))*365/C10))&lt;=0,0.04,IF((((INPUTS!$C$6*C7)*C6)*((INPUTS!$C$28/((BOM!$E$22*(1-C8)+C9)*C6))*365/C10))&lt;=180000,0.04,IF((((INPUTS!$C$6*C7)*C6)*((INPUTS!$C$28/((BOM!$E$22*(1-C8)+C9)*C6))*365/C10))&lt;=360000,((((INPUTS!$C$6*C7)*C6)*((INPUTS!$C$28/((BOM!$E$22*(1-C8)+C9)*C6))*365/C10))*0.073-5940)/(((INPUTS!$C$6*C7)*C6)*((INPUTS!$C$28/((BOM!$E$22*(1-C8)+C9)*C6))*365/C10)),IF((((INPUTS!$C$6*C7)*C6)*((INPUTS!$C$28/((BOM!$E$22*(1-C8)+C9)*C6))*365/C10))&lt;=720000,((((INPUTS!$C$6*C7)*C6)*((INPUTS!$C$28/((BOM!$E$22*(1-C8)+C9)*C6))*365/C10))*0.095-13860)/(((INPUTS!$C$6*C7)*C6)*((INPUTS!$C$28/((BOM!$E$22*(1-C8)+C9)*C6))*365/C10)),IF((((INPUTS!$C$6*C7)*C6)*((INPUTS!$C$28/((BOM!$E$22*(1-C8)+C9)*C6))*365/C10))&lt;=1800000,((((INPUTS!$C$6*C7)*C6)*((INPUTS!$C$28/((BOM!$E$22*(1-C8)+C9)*C6))*365/C10))*0.107-22500)/(((INPUTS!$C$6*C7)*C6)*((INPUTS!$C$28/((BOM!$E$22*(1-C8)+C9)*C6))*365/C10)),IF((((INPUTS!$C$6*C7)*C6)*((INPUTS!$C$28/((BOM!$E$22*(1-C8)+C9)*C6))*365/C10))&lt;=3600000,((((INPUTS!$C$6*C7)*C6)*((INPUTS!$C$28/((BOM!$E$22*(1-C8)+C9)*C6))*365/C10))*0.143-87300)/(((INPUTS!$C$6*C7)*C6)*((INPUTS!$C$28/((BOM!$E$22*(1-C8)+C9)*C6))*365/C10)),((((INPUTS!$C$6*C7)*C6)*((INPUTS!$C$28/((BOM!$E$22*(1-C8)+C9)*C6))*365/C10))*0.19-378000)/(((INPUTS!$C$6*C7)*C6)*((INPUTS!$C$28/((BOM!$E$22*(1-C8)+C9)*C6))*365/C10)))))))))-MIN(((INPUTS!$C$6*C7)*C6)*INPUTS!$C$25,INPUTS!$C$26))*((INPUTS!$C$28/((BOM!$E$22*(1-C8)+C9)*C6))*365/C10)-INPUTS!$C$33)</f>
        <v/>
      </c>
      <c r="D25" s="165">
        <f>((((INPUTS!$C$6*D7)*D6)-((BOM!$E$22*(1-D8)+D9)*D6)-((INPUTS!$C$6*D7)*D6)*(IF((((INPUTS!$C$6*D7)*D6)*((INPUTS!$C$28/((BOM!$E$22*(1-D8)+D9)*D6))*365/D10))&lt;=0,0.04,IF((((INPUTS!$C$6*D7)*D6)*((INPUTS!$C$28/((BOM!$E$22*(1-D8)+D9)*D6))*365/D10))&lt;=180000,0.04,IF((((INPUTS!$C$6*D7)*D6)*((INPUTS!$C$28/((BOM!$E$22*(1-D8)+D9)*D6))*365/D10))&lt;=360000,((((INPUTS!$C$6*D7)*D6)*((INPUTS!$C$28/((BOM!$E$22*(1-D8)+D9)*D6))*365/D10))*0.073-5940)/(((INPUTS!$C$6*D7)*D6)*((INPUTS!$C$28/((BOM!$E$22*(1-D8)+D9)*D6))*365/D10)),IF((((INPUTS!$C$6*D7)*D6)*((INPUTS!$C$28/((BOM!$E$22*(1-D8)+D9)*D6))*365/D10))&lt;=720000,((((INPUTS!$C$6*D7)*D6)*((INPUTS!$C$28/((BOM!$E$22*(1-D8)+D9)*D6))*365/D10))*0.095-13860)/(((INPUTS!$C$6*D7)*D6)*((INPUTS!$C$28/((BOM!$E$22*(1-D8)+D9)*D6))*365/D10)),IF((((INPUTS!$C$6*D7)*D6)*((INPUTS!$C$28/((BOM!$E$22*(1-D8)+D9)*D6))*365/D10))&lt;=1800000,((((INPUTS!$C$6*D7)*D6)*((INPUTS!$C$28/((BOM!$E$22*(1-D8)+D9)*D6))*365/D10))*0.107-22500)/(((INPUTS!$C$6*D7)*D6)*((INPUTS!$C$28/((BOM!$E$22*(1-D8)+D9)*D6))*365/D10)),IF((((INPUTS!$C$6*D7)*D6)*((INPUTS!$C$28/((BOM!$E$22*(1-D8)+D9)*D6))*365/D10))&lt;=3600000,((((INPUTS!$C$6*D7)*D6)*((INPUTS!$C$28/((BOM!$E$22*(1-D8)+D9)*D6))*365/D10))*0.143-87300)/(((INPUTS!$C$6*D7)*D6)*((INPUTS!$C$28/((BOM!$E$22*(1-D8)+D9)*D6))*365/D10)),((((INPUTS!$C$6*D7)*D6)*((INPUTS!$C$28/((BOM!$E$22*(1-D8)+D9)*D6))*365/D10))*0.19-378000)/(((INPUTS!$C$6*D7)*D6)*((INPUTS!$C$28/((BOM!$E$22*(1-D8)+D9)*D6))*365/D10)))))))))-MIN(((INPUTS!$C$6*D7)*D6)*INPUTS!$C$25,INPUTS!$C$26))*((INPUTS!$C$28/((BOM!$E$22*(1-D8)+D9)*D6))*365/D10)-INPUTS!$C$33)</f>
        <v/>
      </c>
      <c r="E25" s="165">
        <f>((((INPUTS!$C$6*E7)*E6)-((BOM!$E$22*(1-E8)+E9)*E6)-((INPUTS!$C$6*E7)*E6)*(IF((((INPUTS!$C$6*E7)*E6)*((INPUTS!$C$28/((BOM!$E$22*(1-E8)+E9)*E6))*365/E10))&lt;=0,0.04,IF((((INPUTS!$C$6*E7)*E6)*((INPUTS!$C$28/((BOM!$E$22*(1-E8)+E9)*E6))*365/E10))&lt;=180000,0.04,IF((((INPUTS!$C$6*E7)*E6)*((INPUTS!$C$28/((BOM!$E$22*(1-E8)+E9)*E6))*365/E10))&lt;=360000,((((INPUTS!$C$6*E7)*E6)*((INPUTS!$C$28/((BOM!$E$22*(1-E8)+E9)*E6))*365/E10))*0.073-5940)/(((INPUTS!$C$6*E7)*E6)*((INPUTS!$C$28/((BOM!$E$22*(1-E8)+E9)*E6))*365/E10)),IF((((INPUTS!$C$6*E7)*E6)*((INPUTS!$C$28/((BOM!$E$22*(1-E8)+E9)*E6))*365/E10))&lt;=720000,((((INPUTS!$C$6*E7)*E6)*((INPUTS!$C$28/((BOM!$E$22*(1-E8)+E9)*E6))*365/E10))*0.095-13860)/(((INPUTS!$C$6*E7)*E6)*((INPUTS!$C$28/((BOM!$E$22*(1-E8)+E9)*E6))*365/E10)),IF((((INPUTS!$C$6*E7)*E6)*((INPUTS!$C$28/((BOM!$E$22*(1-E8)+E9)*E6))*365/E10))&lt;=1800000,((((INPUTS!$C$6*E7)*E6)*((INPUTS!$C$28/((BOM!$E$22*(1-E8)+E9)*E6))*365/E10))*0.107-22500)/(((INPUTS!$C$6*E7)*E6)*((INPUTS!$C$28/((BOM!$E$22*(1-E8)+E9)*E6))*365/E10)),IF((((INPUTS!$C$6*E7)*E6)*((INPUTS!$C$28/((BOM!$E$22*(1-E8)+E9)*E6))*365/E10))&lt;=3600000,((((INPUTS!$C$6*E7)*E6)*((INPUTS!$C$28/((BOM!$E$22*(1-E8)+E9)*E6))*365/E10))*0.143-87300)/(((INPUTS!$C$6*E7)*E6)*((INPUTS!$C$28/((BOM!$E$22*(1-E8)+E9)*E6))*365/E10)),((((INPUTS!$C$6*E7)*E6)*((INPUTS!$C$28/((BOM!$E$22*(1-E8)+E9)*E6))*365/E10))*0.19-378000)/(((INPUTS!$C$6*E7)*E6)*((INPUTS!$C$28/((BOM!$E$22*(1-E8)+E9)*E6))*365/E10)))))))))-MIN(((INPUTS!$C$6*E7)*E6)*INPUTS!$C$25,INPUTS!$C$26))*((INPUTS!$C$28/((BOM!$E$22*(1-E8)+E9)*E6))*365/E10)-INPUTS!$C$33)</f>
        <v/>
      </c>
      <c r="F25" s="165">
        <f>((((INPUTS!$C$6*F7)*F6)-((BOM!$E$22*(1-F8)+F9)*F6)-((INPUTS!$C$6*F7)*F6)*(IF((((INPUTS!$C$6*F7)*F6)*((INPUTS!$C$28/((BOM!$E$22*(1-F8)+F9)*F6))*365/F10))&lt;=0,0.04,IF((((INPUTS!$C$6*F7)*F6)*((INPUTS!$C$28/((BOM!$E$22*(1-F8)+F9)*F6))*365/F10))&lt;=180000,0.04,IF((((INPUTS!$C$6*F7)*F6)*((INPUTS!$C$28/((BOM!$E$22*(1-F8)+F9)*F6))*365/F10))&lt;=360000,((((INPUTS!$C$6*F7)*F6)*((INPUTS!$C$28/((BOM!$E$22*(1-F8)+F9)*F6))*365/F10))*0.073-5940)/(((INPUTS!$C$6*F7)*F6)*((INPUTS!$C$28/((BOM!$E$22*(1-F8)+F9)*F6))*365/F10)),IF((((INPUTS!$C$6*F7)*F6)*((INPUTS!$C$28/((BOM!$E$22*(1-F8)+F9)*F6))*365/F10))&lt;=720000,((((INPUTS!$C$6*F7)*F6)*((INPUTS!$C$28/((BOM!$E$22*(1-F8)+F9)*F6))*365/F10))*0.095-13860)/(((INPUTS!$C$6*F7)*F6)*((INPUTS!$C$28/((BOM!$E$22*(1-F8)+F9)*F6))*365/F10)),IF((((INPUTS!$C$6*F7)*F6)*((INPUTS!$C$28/((BOM!$E$22*(1-F8)+F9)*F6))*365/F10))&lt;=1800000,((((INPUTS!$C$6*F7)*F6)*((INPUTS!$C$28/((BOM!$E$22*(1-F8)+F9)*F6))*365/F10))*0.107-22500)/(((INPUTS!$C$6*F7)*F6)*((INPUTS!$C$28/((BOM!$E$22*(1-F8)+F9)*F6))*365/F10)),IF((((INPUTS!$C$6*F7)*F6)*((INPUTS!$C$28/((BOM!$E$22*(1-F8)+F9)*F6))*365/F10))&lt;=3600000,((((INPUTS!$C$6*F7)*F6)*((INPUTS!$C$28/((BOM!$E$22*(1-F8)+F9)*F6))*365/F10))*0.143-87300)/(((INPUTS!$C$6*F7)*F6)*((INPUTS!$C$28/((BOM!$E$22*(1-F8)+F9)*F6))*365/F10)),((((INPUTS!$C$6*F7)*F6)*((INPUTS!$C$28/((BOM!$E$22*(1-F8)+F9)*F6))*365/F10))*0.19-378000)/(((INPUTS!$C$6*F7)*F6)*((INPUTS!$C$28/((BOM!$E$22*(1-F8)+F9)*F6))*365/F10)))))))))-MIN(((INPUTS!$C$6*F7)*F6)*INPUTS!$C$25,INPUTS!$C$26))*((INPUTS!$C$28/((BOM!$E$22*(1-F8)+F9)*F6))*365/F10)-INPUTS!$C$33)</f>
        <v/>
      </c>
      <c r="G25" s="165">
        <f>((((INPUTS!$C$6*G7)*G6)-((BOM!$E$22*(1-G8)+G9)*G6)-((INPUTS!$C$6*G7)*G6)*(IF((((INPUTS!$C$6*G7)*G6)*((INPUTS!$C$28/((BOM!$E$22*(1-G8)+G9)*G6))*365/G10))&lt;=0,0.04,IF((((INPUTS!$C$6*G7)*G6)*((INPUTS!$C$28/((BOM!$E$22*(1-G8)+G9)*G6))*365/G10))&lt;=180000,0.04,IF((((INPUTS!$C$6*G7)*G6)*((INPUTS!$C$28/((BOM!$E$22*(1-G8)+G9)*G6))*365/G10))&lt;=360000,((((INPUTS!$C$6*G7)*G6)*((INPUTS!$C$28/((BOM!$E$22*(1-G8)+G9)*G6))*365/G10))*0.073-5940)/(((INPUTS!$C$6*G7)*G6)*((INPUTS!$C$28/((BOM!$E$22*(1-G8)+G9)*G6))*365/G10)),IF((((INPUTS!$C$6*G7)*G6)*((INPUTS!$C$28/((BOM!$E$22*(1-G8)+G9)*G6))*365/G10))&lt;=720000,((((INPUTS!$C$6*G7)*G6)*((INPUTS!$C$28/((BOM!$E$22*(1-G8)+G9)*G6))*365/G10))*0.095-13860)/(((INPUTS!$C$6*G7)*G6)*((INPUTS!$C$28/((BOM!$E$22*(1-G8)+G9)*G6))*365/G10)),IF((((INPUTS!$C$6*G7)*G6)*((INPUTS!$C$28/((BOM!$E$22*(1-G8)+G9)*G6))*365/G10))&lt;=1800000,((((INPUTS!$C$6*G7)*G6)*((INPUTS!$C$28/((BOM!$E$22*(1-G8)+G9)*G6))*365/G10))*0.107-22500)/(((INPUTS!$C$6*G7)*G6)*((INPUTS!$C$28/((BOM!$E$22*(1-G8)+G9)*G6))*365/G10)),IF((((INPUTS!$C$6*G7)*G6)*((INPUTS!$C$28/((BOM!$E$22*(1-G8)+G9)*G6))*365/G10))&lt;=3600000,((((INPUTS!$C$6*G7)*G6)*((INPUTS!$C$28/((BOM!$E$22*(1-G8)+G9)*G6))*365/G10))*0.143-87300)/(((INPUTS!$C$6*G7)*G6)*((INPUTS!$C$28/((BOM!$E$22*(1-G8)+G9)*G6))*365/G10)),((((INPUTS!$C$6*G7)*G6)*((INPUTS!$C$28/((BOM!$E$22*(1-G8)+G9)*G6))*365/G10))*0.19-378000)/(((INPUTS!$C$6*G7)*G6)*((INPUTS!$C$28/((BOM!$E$22*(1-G8)+G9)*G6))*365/G10)))))))))-MIN(((INPUTS!$C$6*G7)*G6)*INPUTS!$C$25,INPUTS!$C$26))*((INPUTS!$C$28/((BOM!$E$22*(1-G8)+G9)*G6))*365/G10)-INPUTS!$C$33)</f>
        <v/>
      </c>
      <c r="H25" s="165">
        <f>((((INPUTS!$C$6*H7)*H6)-((BOM!$E$22*(1-H8)+H9)*H6)-((INPUTS!$C$6*H7)*H6)*(IF((((INPUTS!$C$6*H7)*H6)*((INPUTS!$C$28/((BOM!$E$22*(1-H8)+H9)*H6))*365/H10))&lt;=0,0.04,IF((((INPUTS!$C$6*H7)*H6)*((INPUTS!$C$28/((BOM!$E$22*(1-H8)+H9)*H6))*365/H10))&lt;=180000,0.04,IF((((INPUTS!$C$6*H7)*H6)*((INPUTS!$C$28/((BOM!$E$22*(1-H8)+H9)*H6))*365/H10))&lt;=360000,((((INPUTS!$C$6*H7)*H6)*((INPUTS!$C$28/((BOM!$E$22*(1-H8)+H9)*H6))*365/H10))*0.073-5940)/(((INPUTS!$C$6*H7)*H6)*((INPUTS!$C$28/((BOM!$E$22*(1-H8)+H9)*H6))*365/H10)),IF((((INPUTS!$C$6*H7)*H6)*((INPUTS!$C$28/((BOM!$E$22*(1-H8)+H9)*H6))*365/H10))&lt;=720000,((((INPUTS!$C$6*H7)*H6)*((INPUTS!$C$28/((BOM!$E$22*(1-H8)+H9)*H6))*365/H10))*0.095-13860)/(((INPUTS!$C$6*H7)*H6)*((INPUTS!$C$28/((BOM!$E$22*(1-H8)+H9)*H6))*365/H10)),IF((((INPUTS!$C$6*H7)*H6)*((INPUTS!$C$28/((BOM!$E$22*(1-H8)+H9)*H6))*365/H10))&lt;=1800000,((((INPUTS!$C$6*H7)*H6)*((INPUTS!$C$28/((BOM!$E$22*(1-H8)+H9)*H6))*365/H10))*0.107-22500)/(((INPUTS!$C$6*H7)*H6)*((INPUTS!$C$28/((BOM!$E$22*(1-H8)+H9)*H6))*365/H10)),IF((((INPUTS!$C$6*H7)*H6)*((INPUTS!$C$28/((BOM!$E$22*(1-H8)+H9)*H6))*365/H10))&lt;=3600000,((((INPUTS!$C$6*H7)*H6)*((INPUTS!$C$28/((BOM!$E$22*(1-H8)+H9)*H6))*365/H10))*0.143-87300)/(((INPUTS!$C$6*H7)*H6)*((INPUTS!$C$28/((BOM!$E$22*(1-H8)+H9)*H6))*365/H10)),((((INPUTS!$C$6*H7)*H6)*((INPUTS!$C$28/((BOM!$E$22*(1-H8)+H9)*H6))*365/H10))*0.19-378000)/(((INPUTS!$C$6*H7)*H6)*((INPUTS!$C$28/((BOM!$E$22*(1-H8)+H9)*H6))*365/H10)))))))))-MIN(((INPUTS!$C$6*H7)*H6)*INPUTS!$C$25,INPUTS!$C$26))*((INPUTS!$C$28/((BOM!$E$22*(1-H8)+H9)*H6))*365/H10)-INPUTS!$C$33)</f>
        <v/>
      </c>
    </row>
    <row r="26">
      <c r="B26" s="161" t="inlineStr">
        <is>
          <t xml:space="preserve">   …per month</t>
        </is>
      </c>
      <c r="C26" s="165">
        <f>(((((INPUTS!$C$6*C7)*C6)-((BOM!$E$22*(1-C8)+C9)*C6)-((INPUTS!$C$6*C7)*C6)*(IF((((INPUTS!$C$6*C7)*C6)*((INPUTS!$C$28/((BOM!$E$22*(1-C8)+C9)*C6))*365/C10))&lt;=0,0.04,IF((((INPUTS!$C$6*C7)*C6)*((INPUTS!$C$28/((BOM!$E$22*(1-C8)+C9)*C6))*365/C10))&lt;=180000,0.04,IF((((INPUTS!$C$6*C7)*C6)*((INPUTS!$C$28/((BOM!$E$22*(1-C8)+C9)*C6))*365/C10))&lt;=360000,((((INPUTS!$C$6*C7)*C6)*((INPUTS!$C$28/((BOM!$E$22*(1-C8)+C9)*C6))*365/C10))*0.073-5940)/(((INPUTS!$C$6*C7)*C6)*((INPUTS!$C$28/((BOM!$E$22*(1-C8)+C9)*C6))*365/C10)),IF((((INPUTS!$C$6*C7)*C6)*((INPUTS!$C$28/((BOM!$E$22*(1-C8)+C9)*C6))*365/C10))&lt;=720000,((((INPUTS!$C$6*C7)*C6)*((INPUTS!$C$28/((BOM!$E$22*(1-C8)+C9)*C6))*365/C10))*0.095-13860)/(((INPUTS!$C$6*C7)*C6)*((INPUTS!$C$28/((BOM!$E$22*(1-C8)+C9)*C6))*365/C10)),IF((((INPUTS!$C$6*C7)*C6)*((INPUTS!$C$28/((BOM!$E$22*(1-C8)+C9)*C6))*365/C10))&lt;=1800000,((((INPUTS!$C$6*C7)*C6)*((INPUTS!$C$28/((BOM!$E$22*(1-C8)+C9)*C6))*365/C10))*0.107-22500)/(((INPUTS!$C$6*C7)*C6)*((INPUTS!$C$28/((BOM!$E$22*(1-C8)+C9)*C6))*365/C10)),IF((((INPUTS!$C$6*C7)*C6)*((INPUTS!$C$28/((BOM!$E$22*(1-C8)+C9)*C6))*365/C10))&lt;=3600000,((((INPUTS!$C$6*C7)*C6)*((INPUTS!$C$28/((BOM!$E$22*(1-C8)+C9)*C6))*365/C10))*0.143-87300)/(((INPUTS!$C$6*C7)*C6)*((INPUTS!$C$28/((BOM!$E$22*(1-C8)+C9)*C6))*365/C10)),((((INPUTS!$C$6*C7)*C6)*((INPUTS!$C$28/((BOM!$E$22*(1-C8)+C9)*C6))*365/C10))*0.19-378000)/(((INPUTS!$C$6*C7)*C6)*((INPUTS!$C$28/((BOM!$E$22*(1-C8)+C9)*C6))*365/C10)))))))))-MIN(((INPUTS!$C$6*C7)*C6)*INPUTS!$C$25,INPUTS!$C$26))*((INPUTS!$C$28/((BOM!$E$22*(1-C8)+C9)*C6))*365/C10)-INPUTS!$C$33)/12)</f>
        <v/>
      </c>
      <c r="D26" s="165">
        <f>(((((INPUTS!$C$6*D7)*D6)-((BOM!$E$22*(1-D8)+D9)*D6)-((INPUTS!$C$6*D7)*D6)*(IF((((INPUTS!$C$6*D7)*D6)*((INPUTS!$C$28/((BOM!$E$22*(1-D8)+D9)*D6))*365/D10))&lt;=0,0.04,IF((((INPUTS!$C$6*D7)*D6)*((INPUTS!$C$28/((BOM!$E$22*(1-D8)+D9)*D6))*365/D10))&lt;=180000,0.04,IF((((INPUTS!$C$6*D7)*D6)*((INPUTS!$C$28/((BOM!$E$22*(1-D8)+D9)*D6))*365/D10))&lt;=360000,((((INPUTS!$C$6*D7)*D6)*((INPUTS!$C$28/((BOM!$E$22*(1-D8)+D9)*D6))*365/D10))*0.073-5940)/(((INPUTS!$C$6*D7)*D6)*((INPUTS!$C$28/((BOM!$E$22*(1-D8)+D9)*D6))*365/D10)),IF((((INPUTS!$C$6*D7)*D6)*((INPUTS!$C$28/((BOM!$E$22*(1-D8)+D9)*D6))*365/D10))&lt;=720000,((((INPUTS!$C$6*D7)*D6)*((INPUTS!$C$28/((BOM!$E$22*(1-D8)+D9)*D6))*365/D10))*0.095-13860)/(((INPUTS!$C$6*D7)*D6)*((INPUTS!$C$28/((BOM!$E$22*(1-D8)+D9)*D6))*365/D10)),IF((((INPUTS!$C$6*D7)*D6)*((INPUTS!$C$28/((BOM!$E$22*(1-D8)+D9)*D6))*365/D10))&lt;=1800000,((((INPUTS!$C$6*D7)*D6)*((INPUTS!$C$28/((BOM!$E$22*(1-D8)+D9)*D6))*365/D10))*0.107-22500)/(((INPUTS!$C$6*D7)*D6)*((INPUTS!$C$28/((BOM!$E$22*(1-D8)+D9)*D6))*365/D10)),IF((((INPUTS!$C$6*D7)*D6)*((INPUTS!$C$28/((BOM!$E$22*(1-D8)+D9)*D6))*365/D10))&lt;=3600000,((((INPUTS!$C$6*D7)*D6)*((INPUTS!$C$28/((BOM!$E$22*(1-D8)+D9)*D6))*365/D10))*0.143-87300)/(((INPUTS!$C$6*D7)*D6)*((INPUTS!$C$28/((BOM!$E$22*(1-D8)+D9)*D6))*365/D10)),((((INPUTS!$C$6*D7)*D6)*((INPUTS!$C$28/((BOM!$E$22*(1-D8)+D9)*D6))*365/D10))*0.19-378000)/(((INPUTS!$C$6*D7)*D6)*((INPUTS!$C$28/((BOM!$E$22*(1-D8)+D9)*D6))*365/D10)))))))))-MIN(((INPUTS!$C$6*D7)*D6)*INPUTS!$C$25,INPUTS!$C$26))*((INPUTS!$C$28/((BOM!$E$22*(1-D8)+D9)*D6))*365/D10)-INPUTS!$C$33)/12)</f>
        <v/>
      </c>
      <c r="E26" s="165">
        <f>(((((INPUTS!$C$6*E7)*E6)-((BOM!$E$22*(1-E8)+E9)*E6)-((INPUTS!$C$6*E7)*E6)*(IF((((INPUTS!$C$6*E7)*E6)*((INPUTS!$C$28/((BOM!$E$22*(1-E8)+E9)*E6))*365/E10))&lt;=0,0.04,IF((((INPUTS!$C$6*E7)*E6)*((INPUTS!$C$28/((BOM!$E$22*(1-E8)+E9)*E6))*365/E10))&lt;=180000,0.04,IF((((INPUTS!$C$6*E7)*E6)*((INPUTS!$C$28/((BOM!$E$22*(1-E8)+E9)*E6))*365/E10))&lt;=360000,((((INPUTS!$C$6*E7)*E6)*((INPUTS!$C$28/((BOM!$E$22*(1-E8)+E9)*E6))*365/E10))*0.073-5940)/(((INPUTS!$C$6*E7)*E6)*((INPUTS!$C$28/((BOM!$E$22*(1-E8)+E9)*E6))*365/E10)),IF((((INPUTS!$C$6*E7)*E6)*((INPUTS!$C$28/((BOM!$E$22*(1-E8)+E9)*E6))*365/E10))&lt;=720000,((((INPUTS!$C$6*E7)*E6)*((INPUTS!$C$28/((BOM!$E$22*(1-E8)+E9)*E6))*365/E10))*0.095-13860)/(((INPUTS!$C$6*E7)*E6)*((INPUTS!$C$28/((BOM!$E$22*(1-E8)+E9)*E6))*365/E10)),IF((((INPUTS!$C$6*E7)*E6)*((INPUTS!$C$28/((BOM!$E$22*(1-E8)+E9)*E6))*365/E10))&lt;=1800000,((((INPUTS!$C$6*E7)*E6)*((INPUTS!$C$28/((BOM!$E$22*(1-E8)+E9)*E6))*365/E10))*0.107-22500)/(((INPUTS!$C$6*E7)*E6)*((INPUTS!$C$28/((BOM!$E$22*(1-E8)+E9)*E6))*365/E10)),IF((((INPUTS!$C$6*E7)*E6)*((INPUTS!$C$28/((BOM!$E$22*(1-E8)+E9)*E6))*365/E10))&lt;=3600000,((((INPUTS!$C$6*E7)*E6)*((INPUTS!$C$28/((BOM!$E$22*(1-E8)+E9)*E6))*365/E10))*0.143-87300)/(((INPUTS!$C$6*E7)*E6)*((INPUTS!$C$28/((BOM!$E$22*(1-E8)+E9)*E6))*365/E10)),((((INPUTS!$C$6*E7)*E6)*((INPUTS!$C$28/((BOM!$E$22*(1-E8)+E9)*E6))*365/E10))*0.19-378000)/(((INPUTS!$C$6*E7)*E6)*((INPUTS!$C$28/((BOM!$E$22*(1-E8)+E9)*E6))*365/E10)))))))))-MIN(((INPUTS!$C$6*E7)*E6)*INPUTS!$C$25,INPUTS!$C$26))*((INPUTS!$C$28/((BOM!$E$22*(1-E8)+E9)*E6))*365/E10)-INPUTS!$C$33)/12)</f>
        <v/>
      </c>
      <c r="F26" s="165">
        <f>(((((INPUTS!$C$6*F7)*F6)-((BOM!$E$22*(1-F8)+F9)*F6)-((INPUTS!$C$6*F7)*F6)*(IF((((INPUTS!$C$6*F7)*F6)*((INPUTS!$C$28/((BOM!$E$22*(1-F8)+F9)*F6))*365/F10))&lt;=0,0.04,IF((((INPUTS!$C$6*F7)*F6)*((INPUTS!$C$28/((BOM!$E$22*(1-F8)+F9)*F6))*365/F10))&lt;=180000,0.04,IF((((INPUTS!$C$6*F7)*F6)*((INPUTS!$C$28/((BOM!$E$22*(1-F8)+F9)*F6))*365/F10))&lt;=360000,((((INPUTS!$C$6*F7)*F6)*((INPUTS!$C$28/((BOM!$E$22*(1-F8)+F9)*F6))*365/F10))*0.073-5940)/(((INPUTS!$C$6*F7)*F6)*((INPUTS!$C$28/((BOM!$E$22*(1-F8)+F9)*F6))*365/F10)),IF((((INPUTS!$C$6*F7)*F6)*((INPUTS!$C$28/((BOM!$E$22*(1-F8)+F9)*F6))*365/F10))&lt;=720000,((((INPUTS!$C$6*F7)*F6)*((INPUTS!$C$28/((BOM!$E$22*(1-F8)+F9)*F6))*365/F10))*0.095-13860)/(((INPUTS!$C$6*F7)*F6)*((INPUTS!$C$28/((BOM!$E$22*(1-F8)+F9)*F6))*365/F10)),IF((((INPUTS!$C$6*F7)*F6)*((INPUTS!$C$28/((BOM!$E$22*(1-F8)+F9)*F6))*365/F10))&lt;=1800000,((((INPUTS!$C$6*F7)*F6)*((INPUTS!$C$28/((BOM!$E$22*(1-F8)+F9)*F6))*365/F10))*0.107-22500)/(((INPUTS!$C$6*F7)*F6)*((INPUTS!$C$28/((BOM!$E$22*(1-F8)+F9)*F6))*365/F10)),IF((((INPUTS!$C$6*F7)*F6)*((INPUTS!$C$28/((BOM!$E$22*(1-F8)+F9)*F6))*365/F10))&lt;=3600000,((((INPUTS!$C$6*F7)*F6)*((INPUTS!$C$28/((BOM!$E$22*(1-F8)+F9)*F6))*365/F10))*0.143-87300)/(((INPUTS!$C$6*F7)*F6)*((INPUTS!$C$28/((BOM!$E$22*(1-F8)+F9)*F6))*365/F10)),((((INPUTS!$C$6*F7)*F6)*((INPUTS!$C$28/((BOM!$E$22*(1-F8)+F9)*F6))*365/F10))*0.19-378000)/(((INPUTS!$C$6*F7)*F6)*((INPUTS!$C$28/((BOM!$E$22*(1-F8)+F9)*F6))*365/F10)))))))))-MIN(((INPUTS!$C$6*F7)*F6)*INPUTS!$C$25,INPUTS!$C$26))*((INPUTS!$C$28/((BOM!$E$22*(1-F8)+F9)*F6))*365/F10)-INPUTS!$C$33)/12)</f>
        <v/>
      </c>
      <c r="G26" s="165">
        <f>(((((INPUTS!$C$6*G7)*G6)-((BOM!$E$22*(1-G8)+G9)*G6)-((INPUTS!$C$6*G7)*G6)*(IF((((INPUTS!$C$6*G7)*G6)*((INPUTS!$C$28/((BOM!$E$22*(1-G8)+G9)*G6))*365/G10))&lt;=0,0.04,IF((((INPUTS!$C$6*G7)*G6)*((INPUTS!$C$28/((BOM!$E$22*(1-G8)+G9)*G6))*365/G10))&lt;=180000,0.04,IF((((INPUTS!$C$6*G7)*G6)*((INPUTS!$C$28/((BOM!$E$22*(1-G8)+G9)*G6))*365/G10))&lt;=360000,((((INPUTS!$C$6*G7)*G6)*((INPUTS!$C$28/((BOM!$E$22*(1-G8)+G9)*G6))*365/G10))*0.073-5940)/(((INPUTS!$C$6*G7)*G6)*((INPUTS!$C$28/((BOM!$E$22*(1-G8)+G9)*G6))*365/G10)),IF((((INPUTS!$C$6*G7)*G6)*((INPUTS!$C$28/((BOM!$E$22*(1-G8)+G9)*G6))*365/G10))&lt;=720000,((((INPUTS!$C$6*G7)*G6)*((INPUTS!$C$28/((BOM!$E$22*(1-G8)+G9)*G6))*365/G10))*0.095-13860)/(((INPUTS!$C$6*G7)*G6)*((INPUTS!$C$28/((BOM!$E$22*(1-G8)+G9)*G6))*365/G10)),IF((((INPUTS!$C$6*G7)*G6)*((INPUTS!$C$28/((BOM!$E$22*(1-G8)+G9)*G6))*365/G10))&lt;=1800000,((((INPUTS!$C$6*G7)*G6)*((INPUTS!$C$28/((BOM!$E$22*(1-G8)+G9)*G6))*365/G10))*0.107-22500)/(((INPUTS!$C$6*G7)*G6)*((INPUTS!$C$28/((BOM!$E$22*(1-G8)+G9)*G6))*365/G10)),IF((((INPUTS!$C$6*G7)*G6)*((INPUTS!$C$28/((BOM!$E$22*(1-G8)+G9)*G6))*365/G10))&lt;=3600000,((((INPUTS!$C$6*G7)*G6)*((INPUTS!$C$28/((BOM!$E$22*(1-G8)+G9)*G6))*365/G10))*0.143-87300)/(((INPUTS!$C$6*G7)*G6)*((INPUTS!$C$28/((BOM!$E$22*(1-G8)+G9)*G6))*365/G10)),((((INPUTS!$C$6*G7)*G6)*((INPUTS!$C$28/((BOM!$E$22*(1-G8)+G9)*G6))*365/G10))*0.19-378000)/(((INPUTS!$C$6*G7)*G6)*((INPUTS!$C$28/((BOM!$E$22*(1-G8)+G9)*G6))*365/G10)))))))))-MIN(((INPUTS!$C$6*G7)*G6)*INPUTS!$C$25,INPUTS!$C$26))*((INPUTS!$C$28/((BOM!$E$22*(1-G8)+G9)*G6))*365/G10)-INPUTS!$C$33)/12)</f>
        <v/>
      </c>
      <c r="H26" s="165">
        <f>(((((INPUTS!$C$6*H7)*H6)-((BOM!$E$22*(1-H8)+H9)*H6)-((INPUTS!$C$6*H7)*H6)*(IF((((INPUTS!$C$6*H7)*H6)*((INPUTS!$C$28/((BOM!$E$22*(1-H8)+H9)*H6))*365/H10))&lt;=0,0.04,IF((((INPUTS!$C$6*H7)*H6)*((INPUTS!$C$28/((BOM!$E$22*(1-H8)+H9)*H6))*365/H10))&lt;=180000,0.04,IF((((INPUTS!$C$6*H7)*H6)*((INPUTS!$C$28/((BOM!$E$22*(1-H8)+H9)*H6))*365/H10))&lt;=360000,((((INPUTS!$C$6*H7)*H6)*((INPUTS!$C$28/((BOM!$E$22*(1-H8)+H9)*H6))*365/H10))*0.073-5940)/(((INPUTS!$C$6*H7)*H6)*((INPUTS!$C$28/((BOM!$E$22*(1-H8)+H9)*H6))*365/H10)),IF((((INPUTS!$C$6*H7)*H6)*((INPUTS!$C$28/((BOM!$E$22*(1-H8)+H9)*H6))*365/H10))&lt;=720000,((((INPUTS!$C$6*H7)*H6)*((INPUTS!$C$28/((BOM!$E$22*(1-H8)+H9)*H6))*365/H10))*0.095-13860)/(((INPUTS!$C$6*H7)*H6)*((INPUTS!$C$28/((BOM!$E$22*(1-H8)+H9)*H6))*365/H10)),IF((((INPUTS!$C$6*H7)*H6)*((INPUTS!$C$28/((BOM!$E$22*(1-H8)+H9)*H6))*365/H10))&lt;=1800000,((((INPUTS!$C$6*H7)*H6)*((INPUTS!$C$28/((BOM!$E$22*(1-H8)+H9)*H6))*365/H10))*0.107-22500)/(((INPUTS!$C$6*H7)*H6)*((INPUTS!$C$28/((BOM!$E$22*(1-H8)+H9)*H6))*365/H10)),IF((((INPUTS!$C$6*H7)*H6)*((INPUTS!$C$28/((BOM!$E$22*(1-H8)+H9)*H6))*365/H10))&lt;=3600000,((((INPUTS!$C$6*H7)*H6)*((INPUTS!$C$28/((BOM!$E$22*(1-H8)+H9)*H6))*365/H10))*0.143-87300)/(((INPUTS!$C$6*H7)*H6)*((INPUTS!$C$28/((BOM!$E$22*(1-H8)+H9)*H6))*365/H10)),((((INPUTS!$C$6*H7)*H6)*((INPUTS!$C$28/((BOM!$E$22*(1-H8)+H9)*H6))*365/H10))*0.19-378000)/(((INPUTS!$C$6*H7)*H6)*((INPUTS!$C$28/((BOM!$E$22*(1-H8)+H9)*H6))*365/H10)))))))))-MIN(((INPUTS!$C$6*H7)*H6)*INPUTS!$C$25,INPUTS!$C$26))*((INPUTS!$C$28/((BOM!$E$22*(1-H8)+H9)*H6))*365/H10)-INPUTS!$C$33)/12)</f>
        <v/>
      </c>
    </row>
    <row r="27">
      <c r="B27" s="153" t="inlineStr">
        <is>
          <t xml:space="preserve">   …per month in US$</t>
        </is>
      </c>
      <c r="C27" s="160">
        <f>IF(INPUTS!$C$35=0,0,((((INPUTS!$C$6*C7)*C6)-((BOM!$E$22*(1-C8)+C9)*C6)-((INPUTS!$C$6*C7)*C6)*(IF((((INPUTS!$C$6*C7)*C6)*((INPUTS!$C$28/((BOM!$E$22*(1-C8)+C9)*C6))*365/C10))&lt;=0,0.04,IF((((INPUTS!$C$6*C7)*C6)*((INPUTS!$C$28/((BOM!$E$22*(1-C8)+C9)*C6))*365/C10))&lt;=180000,0.04,IF((((INPUTS!$C$6*C7)*C6)*((INPUTS!$C$28/((BOM!$E$22*(1-C8)+C9)*C6))*365/C10))&lt;=360000,((((INPUTS!$C$6*C7)*C6)*((INPUTS!$C$28/((BOM!$E$22*(1-C8)+C9)*C6))*365/C10))*0.073-5940)/(((INPUTS!$C$6*C7)*C6)*((INPUTS!$C$28/((BOM!$E$22*(1-C8)+C9)*C6))*365/C10)),IF((((INPUTS!$C$6*C7)*C6)*((INPUTS!$C$28/((BOM!$E$22*(1-C8)+C9)*C6))*365/C10))&lt;=720000,((((INPUTS!$C$6*C7)*C6)*((INPUTS!$C$28/((BOM!$E$22*(1-C8)+C9)*C6))*365/C10))*0.095-13860)/(((INPUTS!$C$6*C7)*C6)*((INPUTS!$C$28/((BOM!$E$22*(1-C8)+C9)*C6))*365/C10)),IF((((INPUTS!$C$6*C7)*C6)*((INPUTS!$C$28/((BOM!$E$22*(1-C8)+C9)*C6))*365/C10))&lt;=1800000,((((INPUTS!$C$6*C7)*C6)*((INPUTS!$C$28/((BOM!$E$22*(1-C8)+C9)*C6))*365/C10))*0.107-22500)/(((INPUTS!$C$6*C7)*C6)*((INPUTS!$C$28/((BOM!$E$22*(1-C8)+C9)*C6))*365/C10)),IF((((INPUTS!$C$6*C7)*C6)*((INPUTS!$C$28/((BOM!$E$22*(1-C8)+C9)*C6))*365/C10))&lt;=3600000,((((INPUTS!$C$6*C7)*C6)*((INPUTS!$C$28/((BOM!$E$22*(1-C8)+C9)*C6))*365/C10))*0.143-87300)/(((INPUTS!$C$6*C7)*C6)*((INPUTS!$C$28/((BOM!$E$22*(1-C8)+C9)*C6))*365/C10)),((((INPUTS!$C$6*C7)*C6)*((INPUTS!$C$28/((BOM!$E$22*(1-C8)+C9)*C6))*365/C10))*0.19-378000)/(((INPUTS!$C$6*C7)*C6)*((INPUTS!$C$28/((BOM!$E$22*(1-C8)+C9)*C6))*365/C10)))))))))-MIN(((INPUTS!$C$6*C7)*C6)*INPUTS!$C$25,INPUTS!$C$26))*((INPUTS!$C$28/((BOM!$E$22*(1-C8)+C9)*C6))*365/C10)-INPUTS!$C$33)/12/INPUTS!$C$35)</f>
        <v/>
      </c>
      <c r="D27" s="160">
        <f>IF(INPUTS!$C$35=0,0,((((INPUTS!$C$6*D7)*D6)-((BOM!$E$22*(1-D8)+D9)*D6)-((INPUTS!$C$6*D7)*D6)*(IF((((INPUTS!$C$6*D7)*D6)*((INPUTS!$C$28/((BOM!$E$22*(1-D8)+D9)*D6))*365/D10))&lt;=0,0.04,IF((((INPUTS!$C$6*D7)*D6)*((INPUTS!$C$28/((BOM!$E$22*(1-D8)+D9)*D6))*365/D10))&lt;=180000,0.04,IF((((INPUTS!$C$6*D7)*D6)*((INPUTS!$C$28/((BOM!$E$22*(1-D8)+D9)*D6))*365/D10))&lt;=360000,((((INPUTS!$C$6*D7)*D6)*((INPUTS!$C$28/((BOM!$E$22*(1-D8)+D9)*D6))*365/D10))*0.073-5940)/(((INPUTS!$C$6*D7)*D6)*((INPUTS!$C$28/((BOM!$E$22*(1-D8)+D9)*D6))*365/D10)),IF((((INPUTS!$C$6*D7)*D6)*((INPUTS!$C$28/((BOM!$E$22*(1-D8)+D9)*D6))*365/D10))&lt;=720000,((((INPUTS!$C$6*D7)*D6)*((INPUTS!$C$28/((BOM!$E$22*(1-D8)+D9)*D6))*365/D10))*0.095-13860)/(((INPUTS!$C$6*D7)*D6)*((INPUTS!$C$28/((BOM!$E$22*(1-D8)+D9)*D6))*365/D10)),IF((((INPUTS!$C$6*D7)*D6)*((INPUTS!$C$28/((BOM!$E$22*(1-D8)+D9)*D6))*365/D10))&lt;=1800000,((((INPUTS!$C$6*D7)*D6)*((INPUTS!$C$28/((BOM!$E$22*(1-D8)+D9)*D6))*365/D10))*0.107-22500)/(((INPUTS!$C$6*D7)*D6)*((INPUTS!$C$28/((BOM!$E$22*(1-D8)+D9)*D6))*365/D10)),IF((((INPUTS!$C$6*D7)*D6)*((INPUTS!$C$28/((BOM!$E$22*(1-D8)+D9)*D6))*365/D10))&lt;=3600000,((((INPUTS!$C$6*D7)*D6)*((INPUTS!$C$28/((BOM!$E$22*(1-D8)+D9)*D6))*365/D10))*0.143-87300)/(((INPUTS!$C$6*D7)*D6)*((INPUTS!$C$28/((BOM!$E$22*(1-D8)+D9)*D6))*365/D10)),((((INPUTS!$C$6*D7)*D6)*((INPUTS!$C$28/((BOM!$E$22*(1-D8)+D9)*D6))*365/D10))*0.19-378000)/(((INPUTS!$C$6*D7)*D6)*((INPUTS!$C$28/((BOM!$E$22*(1-D8)+D9)*D6))*365/D10)))))))))-MIN(((INPUTS!$C$6*D7)*D6)*INPUTS!$C$25,INPUTS!$C$26))*((INPUTS!$C$28/((BOM!$E$22*(1-D8)+D9)*D6))*365/D10)-INPUTS!$C$33)/12/INPUTS!$C$35)</f>
        <v/>
      </c>
      <c r="E27" s="160">
        <f>IF(INPUTS!$C$35=0,0,((((INPUTS!$C$6*E7)*E6)-((BOM!$E$22*(1-E8)+E9)*E6)-((INPUTS!$C$6*E7)*E6)*(IF((((INPUTS!$C$6*E7)*E6)*((INPUTS!$C$28/((BOM!$E$22*(1-E8)+E9)*E6))*365/E10))&lt;=0,0.04,IF((((INPUTS!$C$6*E7)*E6)*((INPUTS!$C$28/((BOM!$E$22*(1-E8)+E9)*E6))*365/E10))&lt;=180000,0.04,IF((((INPUTS!$C$6*E7)*E6)*((INPUTS!$C$28/((BOM!$E$22*(1-E8)+E9)*E6))*365/E10))&lt;=360000,((((INPUTS!$C$6*E7)*E6)*((INPUTS!$C$28/((BOM!$E$22*(1-E8)+E9)*E6))*365/E10))*0.073-5940)/(((INPUTS!$C$6*E7)*E6)*((INPUTS!$C$28/((BOM!$E$22*(1-E8)+E9)*E6))*365/E10)),IF((((INPUTS!$C$6*E7)*E6)*((INPUTS!$C$28/((BOM!$E$22*(1-E8)+E9)*E6))*365/E10))&lt;=720000,((((INPUTS!$C$6*E7)*E6)*((INPUTS!$C$28/((BOM!$E$22*(1-E8)+E9)*E6))*365/E10))*0.095-13860)/(((INPUTS!$C$6*E7)*E6)*((INPUTS!$C$28/((BOM!$E$22*(1-E8)+E9)*E6))*365/E10)),IF((((INPUTS!$C$6*E7)*E6)*((INPUTS!$C$28/((BOM!$E$22*(1-E8)+E9)*E6))*365/E10))&lt;=1800000,((((INPUTS!$C$6*E7)*E6)*((INPUTS!$C$28/((BOM!$E$22*(1-E8)+E9)*E6))*365/E10))*0.107-22500)/(((INPUTS!$C$6*E7)*E6)*((INPUTS!$C$28/((BOM!$E$22*(1-E8)+E9)*E6))*365/E10)),IF((((INPUTS!$C$6*E7)*E6)*((INPUTS!$C$28/((BOM!$E$22*(1-E8)+E9)*E6))*365/E10))&lt;=3600000,((((INPUTS!$C$6*E7)*E6)*((INPUTS!$C$28/((BOM!$E$22*(1-E8)+E9)*E6))*365/E10))*0.143-87300)/(((INPUTS!$C$6*E7)*E6)*((INPUTS!$C$28/((BOM!$E$22*(1-E8)+E9)*E6))*365/E10)),((((INPUTS!$C$6*E7)*E6)*((INPUTS!$C$28/((BOM!$E$22*(1-E8)+E9)*E6))*365/E10))*0.19-378000)/(((INPUTS!$C$6*E7)*E6)*((INPUTS!$C$28/((BOM!$E$22*(1-E8)+E9)*E6))*365/E10)))))))))-MIN(((INPUTS!$C$6*E7)*E6)*INPUTS!$C$25,INPUTS!$C$26))*((INPUTS!$C$28/((BOM!$E$22*(1-E8)+E9)*E6))*365/E10)-INPUTS!$C$33)/12/INPUTS!$C$35)</f>
        <v/>
      </c>
      <c r="F27" s="160">
        <f>IF(INPUTS!$C$35=0,0,((((INPUTS!$C$6*F7)*F6)-((BOM!$E$22*(1-F8)+F9)*F6)-((INPUTS!$C$6*F7)*F6)*(IF((((INPUTS!$C$6*F7)*F6)*((INPUTS!$C$28/((BOM!$E$22*(1-F8)+F9)*F6))*365/F10))&lt;=0,0.04,IF((((INPUTS!$C$6*F7)*F6)*((INPUTS!$C$28/((BOM!$E$22*(1-F8)+F9)*F6))*365/F10))&lt;=180000,0.04,IF((((INPUTS!$C$6*F7)*F6)*((INPUTS!$C$28/((BOM!$E$22*(1-F8)+F9)*F6))*365/F10))&lt;=360000,((((INPUTS!$C$6*F7)*F6)*((INPUTS!$C$28/((BOM!$E$22*(1-F8)+F9)*F6))*365/F10))*0.073-5940)/(((INPUTS!$C$6*F7)*F6)*((INPUTS!$C$28/((BOM!$E$22*(1-F8)+F9)*F6))*365/F10)),IF((((INPUTS!$C$6*F7)*F6)*((INPUTS!$C$28/((BOM!$E$22*(1-F8)+F9)*F6))*365/F10))&lt;=720000,((((INPUTS!$C$6*F7)*F6)*((INPUTS!$C$28/((BOM!$E$22*(1-F8)+F9)*F6))*365/F10))*0.095-13860)/(((INPUTS!$C$6*F7)*F6)*((INPUTS!$C$28/((BOM!$E$22*(1-F8)+F9)*F6))*365/F10)),IF((((INPUTS!$C$6*F7)*F6)*((INPUTS!$C$28/((BOM!$E$22*(1-F8)+F9)*F6))*365/F10))&lt;=1800000,((((INPUTS!$C$6*F7)*F6)*((INPUTS!$C$28/((BOM!$E$22*(1-F8)+F9)*F6))*365/F10))*0.107-22500)/(((INPUTS!$C$6*F7)*F6)*((INPUTS!$C$28/((BOM!$E$22*(1-F8)+F9)*F6))*365/F10)),IF((((INPUTS!$C$6*F7)*F6)*((INPUTS!$C$28/((BOM!$E$22*(1-F8)+F9)*F6))*365/F10))&lt;=3600000,((((INPUTS!$C$6*F7)*F6)*((INPUTS!$C$28/((BOM!$E$22*(1-F8)+F9)*F6))*365/F10))*0.143-87300)/(((INPUTS!$C$6*F7)*F6)*((INPUTS!$C$28/((BOM!$E$22*(1-F8)+F9)*F6))*365/F10)),((((INPUTS!$C$6*F7)*F6)*((INPUTS!$C$28/((BOM!$E$22*(1-F8)+F9)*F6))*365/F10))*0.19-378000)/(((INPUTS!$C$6*F7)*F6)*((INPUTS!$C$28/((BOM!$E$22*(1-F8)+F9)*F6))*365/F10)))))))))-MIN(((INPUTS!$C$6*F7)*F6)*INPUTS!$C$25,INPUTS!$C$26))*((INPUTS!$C$28/((BOM!$E$22*(1-F8)+F9)*F6))*365/F10)-INPUTS!$C$33)/12/INPUTS!$C$35)</f>
        <v/>
      </c>
      <c r="G27" s="160">
        <f>IF(INPUTS!$C$35=0,0,((((INPUTS!$C$6*G7)*G6)-((BOM!$E$22*(1-G8)+G9)*G6)-((INPUTS!$C$6*G7)*G6)*(IF((((INPUTS!$C$6*G7)*G6)*((INPUTS!$C$28/((BOM!$E$22*(1-G8)+G9)*G6))*365/G10))&lt;=0,0.04,IF((((INPUTS!$C$6*G7)*G6)*((INPUTS!$C$28/((BOM!$E$22*(1-G8)+G9)*G6))*365/G10))&lt;=180000,0.04,IF((((INPUTS!$C$6*G7)*G6)*((INPUTS!$C$28/((BOM!$E$22*(1-G8)+G9)*G6))*365/G10))&lt;=360000,((((INPUTS!$C$6*G7)*G6)*((INPUTS!$C$28/((BOM!$E$22*(1-G8)+G9)*G6))*365/G10))*0.073-5940)/(((INPUTS!$C$6*G7)*G6)*((INPUTS!$C$28/((BOM!$E$22*(1-G8)+G9)*G6))*365/G10)),IF((((INPUTS!$C$6*G7)*G6)*((INPUTS!$C$28/((BOM!$E$22*(1-G8)+G9)*G6))*365/G10))&lt;=720000,((((INPUTS!$C$6*G7)*G6)*((INPUTS!$C$28/((BOM!$E$22*(1-G8)+G9)*G6))*365/G10))*0.095-13860)/(((INPUTS!$C$6*G7)*G6)*((INPUTS!$C$28/((BOM!$E$22*(1-G8)+G9)*G6))*365/G10)),IF((((INPUTS!$C$6*G7)*G6)*((INPUTS!$C$28/((BOM!$E$22*(1-G8)+G9)*G6))*365/G10))&lt;=1800000,((((INPUTS!$C$6*G7)*G6)*((INPUTS!$C$28/((BOM!$E$22*(1-G8)+G9)*G6))*365/G10))*0.107-22500)/(((INPUTS!$C$6*G7)*G6)*((INPUTS!$C$28/((BOM!$E$22*(1-G8)+G9)*G6))*365/G10)),IF((((INPUTS!$C$6*G7)*G6)*((INPUTS!$C$28/((BOM!$E$22*(1-G8)+G9)*G6))*365/G10))&lt;=3600000,((((INPUTS!$C$6*G7)*G6)*((INPUTS!$C$28/((BOM!$E$22*(1-G8)+G9)*G6))*365/G10))*0.143-87300)/(((INPUTS!$C$6*G7)*G6)*((INPUTS!$C$28/((BOM!$E$22*(1-G8)+G9)*G6))*365/G10)),((((INPUTS!$C$6*G7)*G6)*((INPUTS!$C$28/((BOM!$E$22*(1-G8)+G9)*G6))*365/G10))*0.19-378000)/(((INPUTS!$C$6*G7)*G6)*((INPUTS!$C$28/((BOM!$E$22*(1-G8)+G9)*G6))*365/G10)))))))))-MIN(((INPUTS!$C$6*G7)*G6)*INPUTS!$C$25,INPUTS!$C$26))*((INPUTS!$C$28/((BOM!$E$22*(1-G8)+G9)*G6))*365/G10)-INPUTS!$C$33)/12/INPUTS!$C$35)</f>
        <v/>
      </c>
      <c r="H27" s="160">
        <f>IF(INPUTS!$C$35=0,0,((((INPUTS!$C$6*H7)*H6)-((BOM!$E$22*(1-H8)+H9)*H6)-((INPUTS!$C$6*H7)*H6)*(IF((((INPUTS!$C$6*H7)*H6)*((INPUTS!$C$28/((BOM!$E$22*(1-H8)+H9)*H6))*365/H10))&lt;=0,0.04,IF((((INPUTS!$C$6*H7)*H6)*((INPUTS!$C$28/((BOM!$E$22*(1-H8)+H9)*H6))*365/H10))&lt;=180000,0.04,IF((((INPUTS!$C$6*H7)*H6)*((INPUTS!$C$28/((BOM!$E$22*(1-H8)+H9)*H6))*365/H10))&lt;=360000,((((INPUTS!$C$6*H7)*H6)*((INPUTS!$C$28/((BOM!$E$22*(1-H8)+H9)*H6))*365/H10))*0.073-5940)/(((INPUTS!$C$6*H7)*H6)*((INPUTS!$C$28/((BOM!$E$22*(1-H8)+H9)*H6))*365/H10)),IF((((INPUTS!$C$6*H7)*H6)*((INPUTS!$C$28/((BOM!$E$22*(1-H8)+H9)*H6))*365/H10))&lt;=720000,((((INPUTS!$C$6*H7)*H6)*((INPUTS!$C$28/((BOM!$E$22*(1-H8)+H9)*H6))*365/H10))*0.095-13860)/(((INPUTS!$C$6*H7)*H6)*((INPUTS!$C$28/((BOM!$E$22*(1-H8)+H9)*H6))*365/H10)),IF((((INPUTS!$C$6*H7)*H6)*((INPUTS!$C$28/((BOM!$E$22*(1-H8)+H9)*H6))*365/H10))&lt;=1800000,((((INPUTS!$C$6*H7)*H6)*((INPUTS!$C$28/((BOM!$E$22*(1-H8)+H9)*H6))*365/H10))*0.107-22500)/(((INPUTS!$C$6*H7)*H6)*((INPUTS!$C$28/((BOM!$E$22*(1-H8)+H9)*H6))*365/H10)),IF((((INPUTS!$C$6*H7)*H6)*((INPUTS!$C$28/((BOM!$E$22*(1-H8)+H9)*H6))*365/H10))&lt;=3600000,((((INPUTS!$C$6*H7)*H6)*((INPUTS!$C$28/((BOM!$E$22*(1-H8)+H9)*H6))*365/H10))*0.143-87300)/(((INPUTS!$C$6*H7)*H6)*((INPUTS!$C$28/((BOM!$E$22*(1-H8)+H9)*H6))*365/H10)),((((INPUTS!$C$6*H7)*H6)*((INPUTS!$C$28/((BOM!$E$22*(1-H8)+H9)*H6))*365/H10))*0.19-378000)/(((INPUTS!$C$6*H7)*H6)*((INPUTS!$C$28/((BOM!$E$22*(1-H8)+H9)*H6))*365/H10)))))))))-MIN(((INPUTS!$C$6*H7)*H6)*INPUTS!$C$25,INPUTS!$C$26))*((INPUTS!$C$28/((BOM!$E$22*(1-H8)+H9)*H6))*365/H10)-INPUTS!$C$33)/12/INPUTS!$C$35)</f>
        <v/>
      </c>
    </row>
    <row r="28">
      <c r="B28" s="153" t="inlineStr">
        <is>
          <t>Hours a month that takes</t>
        </is>
      </c>
      <c r="C28" s="163">
        <f>(INPUTS!$C$34*((INPUTS!$C$28/((BOM!$E$22*(1-C8)+C9)*C6))*365/C10)/12)</f>
        <v/>
      </c>
      <c r="D28" s="163">
        <f>(INPUTS!$C$34*((INPUTS!$C$28/((BOM!$E$22*(1-D8)+D9)*D6))*365/D10)/12)</f>
        <v/>
      </c>
      <c r="E28" s="163">
        <f>(INPUTS!$C$34*((INPUTS!$C$28/((BOM!$E$22*(1-E8)+E9)*E6))*365/E10)/12)</f>
        <v/>
      </c>
      <c r="F28" s="163">
        <f>(INPUTS!$C$34*((INPUTS!$C$28/((BOM!$E$22*(1-F8)+F9)*F6))*365/F10)/12)</f>
        <v/>
      </c>
      <c r="G28" s="163">
        <f>(INPUTS!$C$34*((INPUTS!$C$28/((BOM!$E$22*(1-G8)+G9)*G6))*365/G10)/12)</f>
        <v/>
      </c>
      <c r="H28" s="163">
        <f>(INPUTS!$C$34*((INPUTS!$C$28/((BOM!$E$22*(1-H8)+H9)*H6))*365/H10)/12)</f>
        <v/>
      </c>
      <c r="I28" s="155" t="inlineStr">
        <is>
          <t>Against the 87 h/month the plan allows. Column D is the only one that starts to fill them.</t>
        </is>
      </c>
    </row>
    <row r="30">
      <c r="B30" s="166" t="inlineStr">
        <is>
          <t>WHAT THE COLUMN SAYS</t>
        </is>
      </c>
      <c r="C30" s="167">
        <f>IF(C25&lt;0,"LOSES MONEY",IF(C25&lt;12000,"TOO SMALL TO LIVE ON","WORKS"))</f>
        <v/>
      </c>
      <c r="D30" s="167">
        <f>IF(D25&lt;0,"LOSES MONEY",IF(D25&lt;12000,"TOO SMALL TO LIVE ON","WORKS"))</f>
        <v/>
      </c>
      <c r="E30" s="167">
        <f>IF(E25&lt;0,"LOSES MONEY",IF(E25&lt;12000,"TOO SMALL TO LIVE ON","WORKS"))</f>
        <v/>
      </c>
      <c r="F30" s="167">
        <f>IF(F25&lt;0,"LOSES MONEY",IF(F25&lt;12000,"TOO SMALL TO LIVE ON","WORKS"))</f>
        <v/>
      </c>
      <c r="G30" s="167">
        <f>IF(G25&lt;0,"LOSES MONEY",IF(G25&lt;12000,"TOO SMALL TO LIVE ON","WORKS"))</f>
        <v/>
      </c>
      <c r="H30" s="167">
        <f>IF(H25&lt;0,"LOSES MONEY",IF(H25&lt;12000,"TOO SMALL TO LIVE ON","WORKS"))</f>
        <v/>
      </c>
      <c r="I30" s="168" t="inlineStr">
        <is>
          <t>R$12.000/yr is a placeholder for "worth doing at all" — change it if your bar is different.</t>
        </is>
      </c>
    </row>
    <row r="33">
      <c r="B33" s="151" t="inlineStr">
        <is>
          <t>THE THREE THINGS THIS TABLE SAYS</t>
        </is>
      </c>
      <c r="C33" s="151" t="n"/>
      <c r="D33" s="151" t="n"/>
      <c r="E33" s="151" t="n"/>
      <c r="F33" s="151" t="n"/>
      <c r="G33" s="151" t="n"/>
      <c r="H33" s="151" t="n"/>
      <c r="I33" s="151" t="n"/>
    </row>
    <row r="34">
      <c r="B34" s="169" t="inlineStr">
        <is>
          <t>1.  The 75% anchor was the whole problem, and it costs nothing to fix.</t>
        </is>
      </c>
    </row>
    <row r="35" ht="40" customHeight="1" s="85">
      <c r="B35" s="170" t="inlineStr">
        <is>
          <t>Goods plus freight are 70,4% of the buyer's estimate before a centavo of tax. Bidding 75% leaves 4,6 points to cover Simples, the platform fee and profit — it cannot be done. Per-item lots clear at 97–100% of estimate, so 90% both wins and pays. Column A to column B is one number typed differently: −R$429/month becomes +R$1.694.</t>
        </is>
      </c>
    </row>
    <row r="37">
      <c r="B37" s="169" t="inlineStr">
        <is>
          <t>2.  Supplier TERMS are worth about six times a supplier DISCOUNT.</t>
        </is>
      </c>
    </row>
    <row r="38" ht="40" customHeight="1" s="85">
      <c r="B38" s="170" t="inlineStr">
        <is>
          <t>A 20% discount (column C) takes the month to ~R$4.000. Terms alone, at list price (column E), take it past R$11.000 — because the same R$15.600 turns over eight times as often. When you write to a wholesaler, 'do you have boleto a prazo' is a bigger question than 'what is your revenda price'.</t>
        </is>
      </c>
    </row>
    <row r="40">
      <c r="B40" s="169" t="inlineStr">
        <is>
          <t>3.  Two kinds of tender can never work, at any price.</t>
        </is>
      </c>
    </row>
    <row r="41" ht="40" customHeight="1" s="85">
      <c r="B41" s="170" t="inlineStr">
        <is>
          <t>Lote único (column F) clears at 36–63% of estimate against a 70,4% cost floor — arithmetically unwinnable, which is what rule 1 already refuses. And any tender delivering kit-by-kit to households: parcel freight to MA is R$188,40 a kit and turns every column above negative. That is what the local-de-entrega reader is for.</t>
        </is>
      </c>
    </row>
    <row r="43">
      <c r="B43" s="171" t="inlineStr">
        <is>
          <t>Still true in every column: the 17th BOM line (the kit bag) is carried at R$0 because nobody has priced it, and no co-packer has quoted, so nothing here may exceed 240 kits. Both are on your list.</t>
        </is>
      </c>
    </row>
  </sheetData>
  <mergeCells count="9">
    <mergeCell ref="B12:I12"/>
    <mergeCell ref="B38:I38"/>
    <mergeCell ref="B34:I34"/>
    <mergeCell ref="B3:I3"/>
    <mergeCell ref="B37:I37"/>
    <mergeCell ref="B43:I43"/>
    <mergeCell ref="B41:I41"/>
    <mergeCell ref="B35:I35"/>
    <mergeCell ref="B40:I40"/>
  </mergeCells>
  <conditionalFormatting sqref="C30">
    <cfRule type="cellIs" priority="1" operator="equal" dxfId="3">
      <formula>"WORKS"</formula>
    </cfRule>
    <cfRule type="cellIs" priority="2" operator="equal" dxfId="4">
      <formula>"LOSES MONEY"</formula>
    </cfRule>
  </conditionalFormatting>
  <conditionalFormatting sqref="D30">
    <cfRule type="cellIs" priority="3" operator="equal" dxfId="3">
      <formula>"WORKS"</formula>
    </cfRule>
    <cfRule type="cellIs" priority="4" operator="equal" dxfId="4">
      <formula>"LOSES MONEY"</formula>
    </cfRule>
  </conditionalFormatting>
  <conditionalFormatting sqref="E30">
    <cfRule type="cellIs" priority="5" operator="equal" dxfId="3">
      <formula>"WORKS"</formula>
    </cfRule>
    <cfRule type="cellIs" priority="6" operator="equal" dxfId="4">
      <formula>"LOSES MONEY"</formula>
    </cfRule>
  </conditionalFormatting>
  <conditionalFormatting sqref="F30">
    <cfRule type="cellIs" priority="7" operator="equal" dxfId="3">
      <formula>"WORKS"</formula>
    </cfRule>
    <cfRule type="cellIs" priority="8" operator="equal" dxfId="4">
      <formula>"LOSES MONEY"</formula>
    </cfRule>
  </conditionalFormatting>
  <conditionalFormatting sqref="G30">
    <cfRule type="cellIs" priority="9" operator="equal" dxfId="3">
      <formula>"WORKS"</formula>
    </cfRule>
    <cfRule type="cellIs" priority="10" operator="equal" dxfId="4">
      <formula>"LOSES MONEY"</formula>
    </cfRule>
  </conditionalFormatting>
  <conditionalFormatting sqref="H30">
    <cfRule type="cellIs" priority="11" operator="equal" dxfId="3">
      <formula>"WORKS"</formula>
    </cfRule>
    <cfRule type="cellIs" priority="12" operator="equal" dxfId="4">
      <formula>"LOSES MONEY"</formula>
    </cfRule>
  </conditionalFormatting>
  <pageMargins left="0.75" right="0.75" top="1" bottom="1" header="0.5" footer="0.5"/>
</worksheet>
</file>

<file path=xl/worksheets/sheet6.xml><?xml version="1.0" encoding="utf-8"?>
<worksheet xmlns="http://schemas.openxmlformats.org/spreadsheetml/2006/main">
  <sheetPr filterMode="0">
    <tabColor rgb="FF8FA89B"/>
    <outlinePr summaryBelow="1" summaryRight="1"/>
    <pageSetUpPr fitToPage="0"/>
  </sheetPr>
  <dimension ref="A1:I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84" min="1" max="1"/>
    <col width="24" customWidth="1" style="84" min="2" max="2"/>
    <col width="11" customWidth="1" style="84" min="3" max="3"/>
    <col width="14" customWidth="1" style="84" min="4" max="5"/>
    <col width="11" customWidth="1" style="84" min="6" max="6"/>
    <col width="12" customWidth="1" style="84" min="7" max="8"/>
    <col width="56" customWidth="1" style="84" min="9" max="9"/>
  </cols>
  <sheetData>
    <row r="1" ht="15" customHeight="1" s="85">
      <c r="A1" s="172" t="inlineStr">
        <is>
          <t>Goods cost per kit  —  data/cost_table.csv, observed SP wholesale, 2026-09-19</t>
        </is>
      </c>
    </row>
    <row r="2" ht="15" customHeight="1" s="85">
      <c r="A2" s="98" t="inlineStr">
        <is>
          <t>Sorted by line cost, largest first. Blue cells are editable: change a unit cost or a quantity and every other sheet follows.</t>
        </is>
      </c>
    </row>
    <row r="4" ht="15" customHeight="1" s="85">
      <c r="A4" s="173" t="inlineStr">
        <is>
          <t>BOM line</t>
        </is>
      </c>
      <c r="B4" s="173" t="inlineStr">
        <is>
          <t>SKU</t>
        </is>
      </c>
      <c r="C4" s="173" t="inlineStr">
        <is>
          <t>Qty per kit</t>
        </is>
      </c>
      <c r="D4" s="173" t="inlineStr">
        <is>
          <t>Unit cost (R$)</t>
        </is>
      </c>
      <c r="E4" s="173" t="inlineStr">
        <is>
          <t>Line cost (R$)</t>
        </is>
      </c>
      <c r="F4" s="173" t="inlineStr">
        <is>
          <t>% of goods</t>
        </is>
      </c>
      <c r="G4" s="173" t="inlineStr">
        <is>
          <t>Basis</t>
        </is>
      </c>
      <c r="H4" s="173" t="inlineStr">
        <is>
          <t>Supplier UF</t>
        </is>
      </c>
      <c r="I4" s="173" t="inlineStr">
        <is>
          <t>Notes</t>
        </is>
      </c>
    </row>
    <row r="5" ht="15" customHeight="1" s="85">
      <c r="A5" s="174" t="inlineStr">
        <is>
          <t>mochila</t>
        </is>
      </c>
      <c r="B5" s="175" t="inlineStr">
        <is>
          <t>MOCHILA</t>
        </is>
      </c>
      <c r="C5" s="126" t="n">
        <v>1</v>
      </c>
      <c r="D5" s="127" t="n">
        <v>52.27</v>
      </c>
      <c r="E5" s="176">
        <f>IF(D5="","",C5*D5)</f>
        <v/>
      </c>
      <c r="F5" s="177">
        <f>IF(OR(E5="",$E$22=0),"",E5/$E$22)</f>
        <v/>
      </c>
      <c r="G5" s="175" t="inlineStr">
        <is>
          <t>unit</t>
        </is>
      </c>
      <c r="H5" s="175" t="inlineStr">
        <is>
          <t>SP</t>
        </is>
      </c>
      <c r="I5" s="178" t="n"/>
    </row>
    <row r="6" ht="15" customHeight="1" s="85">
      <c r="A6" s="174" t="inlineStr">
        <is>
          <t>oleo_infantil</t>
        </is>
      </c>
      <c r="B6" s="175" t="inlineStr">
        <is>
          <t>51050-UN</t>
        </is>
      </c>
      <c r="C6" s="126" t="n">
        <v>1</v>
      </c>
      <c r="D6" s="127" t="n">
        <v>23.89</v>
      </c>
      <c r="E6" s="176">
        <f>IF(D6="","",C6*D6)</f>
        <v/>
      </c>
      <c r="F6" s="177">
        <f>IF(OR(E6="",$E$22=0),"",E6/$E$22)</f>
        <v/>
      </c>
      <c r="G6" s="175" t="inlineStr">
        <is>
          <t>unit</t>
        </is>
      </c>
      <c r="H6" s="175" t="inlineStr">
        <is>
          <t>SP</t>
        </is>
      </c>
      <c r="I6" s="178" t="n"/>
    </row>
    <row r="7" ht="15" customHeight="1" s="85">
      <c r="A7" s="174" t="inlineStr">
        <is>
          <t>fralda_descartavel_rn</t>
        </is>
      </c>
      <c r="B7" s="175" t="inlineStr">
        <is>
          <t>55832-PC</t>
        </is>
      </c>
      <c r="C7" s="126" t="n">
        <v>1</v>
      </c>
      <c r="D7" s="127" t="n">
        <v>23.78</v>
      </c>
      <c r="E7" s="176">
        <f>IF(D7="","",C7*D7)</f>
        <v/>
      </c>
      <c r="F7" s="177">
        <f>IF(OR(E7="",$E$22=0),"",E7/$E$22)</f>
        <v/>
      </c>
      <c r="G7" s="175" t="inlineStr">
        <is>
          <t>per_pack</t>
        </is>
      </c>
      <c r="H7" s="175" t="inlineStr">
        <is>
          <t>SP</t>
        </is>
      </c>
      <c r="I7" s="178" t="inlineStr">
        <is>
          <t>pack of 18 at pack price</t>
        </is>
      </c>
    </row>
    <row r="8" ht="15" customHeight="1" s="85">
      <c r="A8" s="174" t="inlineStr">
        <is>
          <t>banheira_lisa</t>
        </is>
      </c>
      <c r="B8" s="175" t="inlineStr">
        <is>
          <t>BANHEIRA</t>
        </is>
      </c>
      <c r="C8" s="126" t="n">
        <v>1</v>
      </c>
      <c r="D8" s="127" t="n">
        <v>18.9</v>
      </c>
      <c r="E8" s="176">
        <f>IF(D8="","",C8*D8)</f>
        <v/>
      </c>
      <c r="F8" s="177">
        <f>IF(OR(E8="",$E$22=0),"",E8/$E$22)</f>
        <v/>
      </c>
      <c r="G8" s="175" t="inlineStr">
        <is>
          <t>unit</t>
        </is>
      </c>
      <c r="H8" s="175" t="inlineStr">
        <is>
          <t>SP</t>
        </is>
      </c>
      <c r="I8" s="178" t="n"/>
    </row>
    <row r="9" ht="15" customHeight="1" s="85">
      <c r="A9" s="174" t="inlineStr">
        <is>
          <t>pagao</t>
        </is>
      </c>
      <c r="B9" s="175" t="inlineStr">
        <is>
          <t>PAGAO</t>
        </is>
      </c>
      <c r="C9" s="126" t="n">
        <v>1</v>
      </c>
      <c r="D9" s="127" t="n">
        <v>15.34</v>
      </c>
      <c r="E9" s="176">
        <f>IF(D9="","",C9*D9)</f>
        <v/>
      </c>
      <c r="F9" s="177">
        <f>IF(OR(E9="",$E$22=0),"",E9/$E$22)</f>
        <v/>
      </c>
      <c r="G9" s="175" t="inlineStr">
        <is>
          <t>unit_set</t>
        </is>
      </c>
      <c r="H9" s="175" t="inlineStr">
        <is>
          <t>SP</t>
        </is>
      </c>
      <c r="I9" s="178" t="n"/>
    </row>
    <row r="10" ht="15" customHeight="1" s="85">
      <c r="A10" s="174" t="inlineStr">
        <is>
          <t>cobertor_infantil</t>
        </is>
      </c>
      <c r="B10" s="175" t="inlineStr">
        <is>
          <t>COBERTOR</t>
        </is>
      </c>
      <c r="C10" s="126" t="n">
        <v>1</v>
      </c>
      <c r="D10" s="127" t="n">
        <v>12.15</v>
      </c>
      <c r="E10" s="176">
        <f>IF(D10="","",C10*D10)</f>
        <v/>
      </c>
      <c r="F10" s="177">
        <f>IF(OR(E10="",$E$22=0),"",E10/$E$22)</f>
        <v/>
      </c>
      <c r="G10" s="175" t="inlineStr">
        <is>
          <t>unit</t>
        </is>
      </c>
      <c r="H10" s="175" t="inlineStr">
        <is>
          <t>SP</t>
        </is>
      </c>
      <c r="I10" s="178" t="n"/>
    </row>
    <row r="11" ht="15" customHeight="1" s="85">
      <c r="A11" s="174" t="inlineStr">
        <is>
          <t>shampoo_infantil</t>
        </is>
      </c>
      <c r="B11" s="175" t="inlineStr">
        <is>
          <t>26669-UN</t>
        </is>
      </c>
      <c r="C11" s="126" t="n">
        <v>1</v>
      </c>
      <c r="D11" s="127" t="n">
        <v>10.45</v>
      </c>
      <c r="E11" s="176">
        <f>IF(D11="","",C11*D11)</f>
        <v/>
      </c>
      <c r="F11" s="177">
        <f>IF(OR(E11="",$E$22=0),"",E11/$E$22)</f>
        <v/>
      </c>
      <c r="G11" s="175" t="inlineStr">
        <is>
          <t>unit</t>
        </is>
      </c>
      <c r="H11" s="175" t="inlineStr">
        <is>
          <t>SP</t>
        </is>
      </c>
      <c r="I11" s="178" t="n"/>
    </row>
    <row r="12" ht="15" customHeight="1" s="85">
      <c r="A12" s="174" t="inlineStr">
        <is>
          <t>sabonete_liquido</t>
        </is>
      </c>
      <c r="B12" s="175" t="inlineStr">
        <is>
          <t>000000000000941594-UN</t>
        </is>
      </c>
      <c r="C12" s="126" t="n">
        <v>1</v>
      </c>
      <c r="D12" s="127" t="n">
        <v>8.99</v>
      </c>
      <c r="E12" s="176">
        <f>IF(D12="","",C12*D12)</f>
        <v/>
      </c>
      <c r="F12" s="177">
        <f>IF(OR(E12="",$E$22=0),"",E12/$E$22)</f>
        <v/>
      </c>
      <c r="G12" s="175" t="inlineStr">
        <is>
          <t>unit</t>
        </is>
      </c>
      <c r="H12" s="175" t="inlineStr">
        <is>
          <t>SP</t>
        </is>
      </c>
      <c r="I12" s="178" t="n"/>
    </row>
    <row r="13" ht="15" customHeight="1" s="85">
      <c r="A13" s="174" t="inlineStr">
        <is>
          <t>body_manga_longa</t>
        </is>
      </c>
      <c r="B13" s="175" t="inlineStr">
        <is>
          <t>BODY</t>
        </is>
      </c>
      <c r="C13" s="126" t="n">
        <v>1</v>
      </c>
      <c r="D13" s="127" t="n">
        <v>7.56</v>
      </c>
      <c r="E13" s="176">
        <f>IF(D13="","",C13*D13)</f>
        <v/>
      </c>
      <c r="F13" s="177">
        <f>IF(OR(E13="",$E$22=0),"",E13/$E$22)</f>
        <v/>
      </c>
      <c r="G13" s="175" t="inlineStr">
        <is>
          <t>per_piece</t>
        </is>
      </c>
      <c r="H13" s="175" t="inlineStr">
        <is>
          <t>SP</t>
        </is>
      </c>
      <c r="I13" s="178" t="n"/>
    </row>
    <row r="14" ht="15" customHeight="1" s="85">
      <c r="A14" s="174" t="inlineStr">
        <is>
          <t>toalhas_umedecidas</t>
        </is>
      </c>
      <c r="B14" s="175" t="inlineStr">
        <is>
          <t>50102-UN</t>
        </is>
      </c>
      <c r="C14" s="126" t="n">
        <v>1</v>
      </c>
      <c r="D14" s="127" t="n">
        <v>6.02</v>
      </c>
      <c r="E14" s="176">
        <f>IF(D14="","",C14*D14)</f>
        <v/>
      </c>
      <c r="F14" s="177">
        <f>IF(OR(E14="",$E$22=0),"",E14/$E$22)</f>
        <v/>
      </c>
      <c r="G14" s="175" t="inlineStr">
        <is>
          <t>per_pack</t>
        </is>
      </c>
      <c r="H14" s="175" t="inlineStr">
        <is>
          <t>SP</t>
        </is>
      </c>
      <c r="I14" s="178" t="n"/>
    </row>
    <row r="15" ht="15" customHeight="1" s="85">
      <c r="A15" s="174" t="inlineStr">
        <is>
          <t>kit_higiene_bebe</t>
        </is>
      </c>
      <c r="B15" s="175" t="inlineStr">
        <is>
          <t>KIT_HIGIENE</t>
        </is>
      </c>
      <c r="C15" s="126" t="n">
        <v>1</v>
      </c>
      <c r="D15" s="127" t="n">
        <v>5.2</v>
      </c>
      <c r="E15" s="176">
        <f>IF(D15="","",C15*D15)</f>
        <v/>
      </c>
      <c r="F15" s="177">
        <f>IF(OR(E15="",$E$22=0),"",E15/$E$22)</f>
        <v/>
      </c>
      <c r="G15" s="175" t="inlineStr">
        <is>
          <t>unit_kit</t>
        </is>
      </c>
      <c r="H15" s="175" t="inlineStr">
        <is>
          <t>SP</t>
        </is>
      </c>
      <c r="I15" s="178" t="n"/>
    </row>
    <row r="16" ht="15" customHeight="1" s="85">
      <c r="A16" s="174" t="inlineStr">
        <is>
          <t>cueiro</t>
        </is>
      </c>
      <c r="B16" s="175" t="inlineStr">
        <is>
          <t>CUEIRO</t>
        </is>
      </c>
      <c r="C16" s="126" t="n">
        <v>1</v>
      </c>
      <c r="D16" s="127" t="n">
        <v>3.94</v>
      </c>
      <c r="E16" s="176">
        <f>IF(D16="","",C16*D16)</f>
        <v/>
      </c>
      <c r="F16" s="177">
        <f>IF(OR(E16="",$E$22=0),"",E16/$E$22)</f>
        <v/>
      </c>
      <c r="G16" s="175" t="inlineStr">
        <is>
          <t>per_piece</t>
        </is>
      </c>
      <c r="H16" s="175" t="inlineStr">
        <is>
          <t>SP</t>
        </is>
      </c>
      <c r="I16" s="178" t="n"/>
    </row>
    <row r="17" ht="15" customHeight="1" s="85">
      <c r="A17" s="174" t="inlineStr">
        <is>
          <t>toalha_banho_infantil</t>
        </is>
      </c>
      <c r="B17" s="175" t="inlineStr">
        <is>
          <t>TOALHA_BANHO</t>
        </is>
      </c>
      <c r="C17" s="126" t="n">
        <v>1</v>
      </c>
      <c r="D17" s="127" t="n">
        <v>3.42</v>
      </c>
      <c r="E17" s="176">
        <f>IF(D17="","",C17*D17)</f>
        <v/>
      </c>
      <c r="F17" s="177">
        <f>IF(OR(E17="",$E$22=0),"",E17/$E$22)</f>
        <v/>
      </c>
      <c r="G17" s="175" t="inlineStr">
        <is>
          <t>per_piece</t>
        </is>
      </c>
      <c r="H17" s="175" t="inlineStr">
        <is>
          <t>SP</t>
        </is>
      </c>
      <c r="I17" s="178" t="n"/>
    </row>
    <row r="18" ht="15" customHeight="1" s="85">
      <c r="A18" s="174" t="inlineStr">
        <is>
          <t>saboneteira</t>
        </is>
      </c>
      <c r="B18" s="175" t="inlineStr">
        <is>
          <t>SABONETEIRA</t>
        </is>
      </c>
      <c r="C18" s="126" t="n">
        <v>1</v>
      </c>
      <c r="D18" s="127" t="n">
        <v>3.01</v>
      </c>
      <c r="E18" s="176">
        <f>IF(D18="","",C18*D18)</f>
        <v/>
      </c>
      <c r="F18" s="177">
        <f>IF(OR(E18="",$E$22=0),"",E18/$E$22)</f>
        <v/>
      </c>
      <c r="G18" s="175" t="inlineStr">
        <is>
          <t>unit</t>
        </is>
      </c>
      <c r="H18" s="175" t="inlineStr">
        <is>
          <t>SP</t>
        </is>
      </c>
      <c r="I18" s="178" t="n"/>
    </row>
    <row r="19" ht="15" customHeight="1" s="85">
      <c r="A19" s="174" t="inlineStr">
        <is>
          <t>par_de_meias</t>
        </is>
      </c>
      <c r="B19" s="175" t="inlineStr">
        <is>
          <t>MEIAS</t>
        </is>
      </c>
      <c r="C19" s="126" t="n">
        <v>1</v>
      </c>
      <c r="D19" s="127" t="n">
        <v>2.01</v>
      </c>
      <c r="E19" s="176">
        <f>IF(D19="","",C19*D19)</f>
        <v/>
      </c>
      <c r="F19" s="177">
        <f>IF(OR(E19="",$E$22=0),"",E19/$E$22)</f>
        <v/>
      </c>
      <c r="G19" s="175" t="inlineStr">
        <is>
          <t>per_pair</t>
        </is>
      </c>
      <c r="H19" s="175" t="inlineStr">
        <is>
          <t>SP</t>
        </is>
      </c>
      <c r="I19" s="178" t="n"/>
    </row>
    <row r="20" ht="15" customHeight="1" s="85">
      <c r="A20" s="174" t="inlineStr">
        <is>
          <t>pano_de_boca</t>
        </is>
      </c>
      <c r="B20" s="175" t="inlineStr">
        <is>
          <t>PANO_BOCA</t>
        </is>
      </c>
      <c r="C20" s="126" t="n">
        <v>1</v>
      </c>
      <c r="D20" s="127" t="n">
        <v>1.85</v>
      </c>
      <c r="E20" s="176">
        <f>IF(D20="","",C20*D20)</f>
        <v/>
      </c>
      <c r="F20" s="177">
        <f>IF(OR(E20="",$E$22=0),"",E20/$E$22)</f>
        <v/>
      </c>
      <c r="G20" s="175" t="inlineStr">
        <is>
          <t>per_piece</t>
        </is>
      </c>
      <c r="H20" s="175" t="inlineStr">
        <is>
          <t>SP</t>
        </is>
      </c>
      <c r="I20" s="178" t="n"/>
    </row>
    <row r="21" ht="15" customHeight="1" s="85">
      <c r="A21" s="179" t="inlineStr">
        <is>
          <t>kit_enxoval</t>
        </is>
      </c>
      <c r="B21" s="180" t="inlineStr">
        <is>
          <t>KIT_ENXOVAL</t>
        </is>
      </c>
      <c r="C21" s="126" t="n">
        <v>1</v>
      </c>
      <c r="D21" s="127" t="n"/>
      <c r="E21" s="181">
        <f>IF(D21="","",C21*D21)</f>
        <v/>
      </c>
      <c r="F21" s="182">
        <f>IF(OR(E21="",$E$22=0),"",E21/$E$22)</f>
        <v/>
      </c>
      <c r="G21" s="180" t="inlineStr">
        <is>
          <t>unit</t>
        </is>
      </c>
      <c r="H21" s="180" t="n"/>
      <c r="I21" s="183" t="inlineStr">
        <is>
          <t>UNPRICED — the kit bag. Needs the real edital spec (PNCP Family B). Price it here, or carry an allowance in INPUTS!C17.</t>
        </is>
      </c>
    </row>
    <row r="22" ht="15" customHeight="1" s="85">
      <c r="D22" s="184" t="inlineStr">
        <is>
          <t>TOTAL priced lines</t>
        </is>
      </c>
      <c r="E22" s="185">
        <f>SUM(E5:E21)</f>
        <v/>
      </c>
    </row>
    <row r="23" ht="15" customHeight="1" s="85">
      <c r="D23" s="184" t="inlineStr">
        <is>
          <t>Unpriced lines</t>
        </is>
      </c>
      <c r="E23" s="186">
        <f>SUMPRODUCT(--(D5:D21=""))</f>
        <v/>
      </c>
    </row>
    <row r="25" ht="15" customHeight="1" s="85">
      <c r="A25" s="110" t="inlineStr">
        <is>
          <t>Where the goods cost actually sits</t>
        </is>
      </c>
    </row>
    <row r="26" ht="15" customHeight="1" s="85">
      <c r="A26" s="94" t="inlineStr">
        <is>
          <t>Top 4 lines as % of goods cost</t>
        </is>
      </c>
      <c r="C26" s="112">
        <f>IF($E$22=0,"",SUM(E5:E8)/$E$22)</f>
        <v/>
      </c>
      <c r="D26" s="98" t="inlineStr">
        <is>
          <t>A discount negotiation that does not move the top four does not move the kit.</t>
        </is>
      </c>
    </row>
    <row r="27" ht="15" customHeight="1" s="85">
      <c r="A27" s="94" t="inlineStr">
        <is>
          <t>Mochila as % of goods cost</t>
        </is>
      </c>
      <c r="C27" s="112">
        <f>IF($E$22=0,"",E5/$E$22)</f>
        <v/>
      </c>
      <c r="D27" s="98" t="inlineStr">
        <is>
          <t>The written plan budgeted R$25,00 for the backpack. List is R$52,27 — that one gap is most of the missing margin.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FA89B"/>
    <outlinePr summaryBelow="1" summaryRight="1"/>
    <pageSetUpPr fitToPage="0"/>
  </sheetPr>
  <dimension ref="A1:G31"/>
  <sheetViews>
    <sheetView showFormulas="0" showGridLines="0" showRowColHeaders="1" showZeros="1" rightToLeft="0" tabSelected="0" showOutlineSymbols="1" defaultGridColor="1"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84" min="1" max="1"/>
    <col width="20" customWidth="1" style="84" min="2" max="2"/>
    <col width="46" customWidth="1" style="84" min="3" max="3"/>
    <col width="20" customWidth="1" style="84" min="4" max="4"/>
    <col width="62" customWidth="1" style="84" min="5" max="5"/>
    <col width="20" customWidth="1" style="84" min="6" max="6"/>
    <col width="16" customWidth="1" style="84" min="7" max="7"/>
  </cols>
  <sheetData>
    <row r="1" ht="15" customHeight="1" s="85">
      <c r="A1" s="172" t="inlineStr">
        <is>
          <t>Freight per kit  —  MEASURED 2026-09-19  (data/freight.md, data/cost_freight.csv)</t>
        </is>
      </c>
    </row>
    <row r="2" ht="15" customHeight="1" s="85">
      <c r="A2" s="98" t="inlineStr">
        <is>
          <t>PARCEL = Correios PAC balcao, one 60×40×40 cm box per kit, SP 03005-000 to the CAPITAL CEP. LTL = consolidated road freight to ONE consignee; only SP→CE has a published table (STC).</t>
        </is>
      </c>
    </row>
    <row r="3" ht="15" customHeight="1" s="85">
      <c r="A3" s="98" t="inlineStr">
        <is>
          <t>Blank = never measured. DEAL reports that rather than substituting zero. Interior CEPs differ from capitals. Transit days are PARCEL only — LTL transit is not published.</t>
        </is>
      </c>
    </row>
    <row r="5" ht="15" customHeight="1" s="85">
      <c r="A5" s="92" t="inlineStr">
        <is>
          <t>YOUR SELECTION</t>
        </is>
      </c>
      <c r="B5" s="93" t="n"/>
      <c r="C5" s="93" t="n"/>
      <c r="D5" s="93" t="n"/>
      <c r="E5" s="93" t="n"/>
      <c r="F5" s="93" t="n"/>
      <c r="G5" s="93" t="n"/>
    </row>
    <row r="6" ht="15" customHeight="1" s="85">
      <c r="A6" s="94" t="inlineStr">
        <is>
          <t>Buyer UF</t>
        </is>
      </c>
      <c r="B6" s="123">
        <f>INPUTS!$C$8</f>
        <v/>
      </c>
    </row>
    <row r="7" ht="15" customHeight="1" s="85">
      <c r="A7" s="94" t="inlineStr">
        <is>
          <t>Delivery mode</t>
        </is>
      </c>
      <c r="B7" s="123">
        <f>INPUTS!$C$9</f>
        <v/>
      </c>
    </row>
    <row r="8" ht="15" customHeight="1" s="85">
      <c r="A8" s="94" t="inlineStr">
        <is>
          <t>Freight per kit from the table</t>
        </is>
      </c>
      <c r="B8" s="133">
        <f>IFERROR(INDEX($F$13:$F$31,MATCH($B$6,$A$13:$A$31,0)),"")</f>
        <v/>
      </c>
      <c r="C8" s="98" t="inlineStr">
        <is>
          <t>Blank here = no measured rate for this UF and mode. Quote it, or switch mode.</t>
        </is>
      </c>
    </row>
    <row r="9" ht="15" customHeight="1" s="85">
      <c r="A9" s="94" t="inlineStr">
        <is>
          <t>Transit days (parcel)</t>
        </is>
      </c>
      <c r="B9" s="138">
        <f>IFERROR(INDEX($G$13:$G$31,MATCH($B$6,$A$13:$A$31,0)),"")</f>
        <v/>
      </c>
    </row>
    <row r="10" ht="15" customHeight="1" s="85">
      <c r="A10" s="94" t="inlineStr">
        <is>
          <t>Freight as % of your bid price</t>
        </is>
      </c>
      <c r="B10" s="137">
        <f>IF(OR($B$8="",DEAL!$C$15=0),"",IF(INPUTS!$C$14&lt;&gt;"",INPUTS!$C$14,$B$8)/DEAL!$C$15)</f>
        <v/>
      </c>
      <c r="C10" s="98" t="inlineStr">
        <is>
          <t>Above ~20% of the bid price, freight alone eats the entire margin.</t>
        </is>
      </c>
    </row>
    <row r="12" ht="22.35" customHeight="1" s="85">
      <c r="A12" s="173" t="inlineStr">
        <is>
          <t>UF</t>
        </is>
      </c>
      <c r="B12" s="173" t="inlineStr">
        <is>
          <t>Parcel per kit (R$)</t>
        </is>
      </c>
      <c r="C12" s="173" t="inlineStr">
        <is>
          <t>LTL per kit (R$)</t>
        </is>
      </c>
      <c r="D12" s="173" t="inlineStr">
        <is>
          <t>Transit days (PAC, business)</t>
        </is>
      </c>
      <c r="E12" s="173" t="inlineStr">
        <is>
          <t>Source</t>
        </is>
      </c>
      <c r="F12" s="173" t="inlineStr">
        <is>
          <t>Used for your mode</t>
        </is>
      </c>
      <c r="G12" s="173" t="inlineStr">
        <is>
          <t>Transit used</t>
        </is>
      </c>
    </row>
    <row r="13" ht="15" customHeight="1" s="85">
      <c r="A13" s="187" t="inlineStr">
        <is>
          <t>MG</t>
        </is>
      </c>
      <c r="B13" s="127" t="n">
        <v>116.6</v>
      </c>
      <c r="C13" s="127" t="n"/>
      <c r="D13" s="126" t="n">
        <v>5</v>
      </c>
      <c r="E13" s="178" t="inlineStr">
        <is>
          <t>Correios public calculator, measured</t>
        </is>
      </c>
      <c r="F13" s="176">
        <f>IF(INPUTS!$C$9="LTL",IF(C13="","",C13),IF(B13="","",B13))</f>
        <v/>
      </c>
      <c r="G13" s="188">
        <f>IF(D13="","",D13)</f>
        <v/>
      </c>
    </row>
    <row r="14" ht="15" customHeight="1" s="85">
      <c r="A14" s="187" t="inlineStr">
        <is>
          <t>MA</t>
        </is>
      </c>
      <c r="B14" s="127" t="n">
        <v>188.4</v>
      </c>
      <c r="C14" s="127" t="n"/>
      <c r="D14" s="126" t="n">
        <v>8</v>
      </c>
      <c r="E14" s="178" t="inlineStr">
        <is>
          <t>Correios public calculator, measured</t>
        </is>
      </c>
      <c r="F14" s="176">
        <f>IF(INPUTS!$C$9="LTL",IF(C14="","",C14),IF(B14="","",B14))</f>
        <v/>
      </c>
      <c r="G14" s="188">
        <f>IF(D14="","",D14)</f>
        <v/>
      </c>
    </row>
    <row r="15" ht="15" customHeight="1" s="85">
      <c r="A15" s="187" t="inlineStr">
        <is>
          <t>BA</t>
        </is>
      </c>
      <c r="B15" s="127" t="n">
        <v>132.9</v>
      </c>
      <c r="C15" s="127" t="n"/>
      <c r="D15" s="126" t="n">
        <v>6</v>
      </c>
      <c r="E15" s="178" t="inlineStr">
        <is>
          <t>Correios public calculator, measured</t>
        </is>
      </c>
      <c r="F15" s="176">
        <f>IF(INPUTS!$C$9="LTL",IF(C15="","",C15),IF(B15="","",B15))</f>
        <v/>
      </c>
      <c r="G15" s="188">
        <f>IF(D15="","",D15)</f>
        <v/>
      </c>
    </row>
    <row r="16" ht="15" customHeight="1" s="85">
      <c r="A16" s="187" t="inlineStr">
        <is>
          <t>CE</t>
        </is>
      </c>
      <c r="B16" s="127" t="n">
        <v>152.6</v>
      </c>
      <c r="C16" s="127" t="n">
        <v>53.99</v>
      </c>
      <c r="D16" s="126" t="n">
        <v>7</v>
      </c>
      <c r="E16" s="178" t="inlineStr">
        <is>
          <t>Correios measured; LTL: STC Transportes published table SP→Fortaleza, 100 kits (R$52,57 at 5.000)</t>
        </is>
      </c>
      <c r="F16" s="176">
        <f>IF(INPUTS!$C$9="LTL",IF(C16="","",C16),IF(B16="","",B16))</f>
        <v/>
      </c>
      <c r="G16" s="188">
        <f>IF(D16="","",D16)</f>
        <v/>
      </c>
    </row>
    <row r="17" ht="15" customHeight="1" s="85">
      <c r="A17" s="187" t="inlineStr">
        <is>
          <t>PE</t>
        </is>
      </c>
      <c r="B17" s="127" t="n">
        <v>152.6</v>
      </c>
      <c r="C17" s="127" t="n"/>
      <c r="D17" s="126" t="n">
        <v>6</v>
      </c>
      <c r="E17" s="178" t="inlineStr">
        <is>
          <t>Correios public calculator, measured</t>
        </is>
      </c>
      <c r="F17" s="176">
        <f>IF(INPUTS!$C$9="LTL",IF(C17="","",C17),IF(B17="","",B17))</f>
        <v/>
      </c>
      <c r="G17" s="188">
        <f>IF(D17="","",D17)</f>
        <v/>
      </c>
    </row>
    <row r="18" ht="15" customHeight="1" s="85">
      <c r="A18" s="187" t="inlineStr">
        <is>
          <t>SE</t>
        </is>
      </c>
      <c r="B18" s="127" t="n">
        <v>188.4</v>
      </c>
      <c r="C18" s="127" t="n"/>
      <c r="D18" s="126" t="n">
        <v>8</v>
      </c>
      <c r="E18" s="178" t="inlineStr">
        <is>
          <t>Correios public calculator, measured</t>
        </is>
      </c>
      <c r="F18" s="176">
        <f>IF(INPUTS!$C$9="LTL",IF(C18="","",C18),IF(B18="","",B18))</f>
        <v/>
      </c>
      <c r="G18" s="188">
        <f>IF(D18="","",D18)</f>
        <v/>
      </c>
    </row>
    <row r="19" ht="15" customHeight="1" s="85">
      <c r="A19" s="187" t="inlineStr">
        <is>
          <t>PA</t>
        </is>
      </c>
      <c r="B19" s="127" t="n">
        <v>152.6</v>
      </c>
      <c r="C19" s="127" t="n"/>
      <c r="D19" s="126" t="n">
        <v>8</v>
      </c>
      <c r="E19" s="178" t="inlineStr">
        <is>
          <t>Correios public calculator, measured</t>
        </is>
      </c>
      <c r="F19" s="176">
        <f>IF(INPUTS!$C$9="LTL",IF(C19="","",C19),IF(B19="","",B19))</f>
        <v/>
      </c>
      <c r="G19" s="188">
        <f>IF(D19="","",D19)</f>
        <v/>
      </c>
    </row>
    <row r="20" ht="15" customHeight="1" s="85">
      <c r="A20" s="187" t="inlineStr">
        <is>
          <t>RN</t>
        </is>
      </c>
      <c r="B20" s="127" t="n">
        <v>188.4</v>
      </c>
      <c r="C20" s="127" t="n"/>
      <c r="D20" s="126" t="n">
        <v>7</v>
      </c>
      <c r="E20" s="178" t="inlineStr">
        <is>
          <t>Correios public calculator, measured</t>
        </is>
      </c>
      <c r="F20" s="176">
        <f>IF(INPUTS!$C$9="LTL",IF(C20="","",C20),IF(B20="","",B20))</f>
        <v/>
      </c>
      <c r="G20" s="188">
        <f>IF(D20="","",D20)</f>
        <v/>
      </c>
    </row>
    <row r="21" ht="15" customHeight="1" s="85">
      <c r="A21" s="189" t="inlineStr">
        <is>
          <t>PB</t>
        </is>
      </c>
      <c r="B21" s="127" t="n"/>
      <c r="C21" s="127" t="n"/>
      <c r="D21" s="126" t="n"/>
      <c r="E21" s="183" t="inlineStr">
        <is>
          <t>NOT MEASURED</t>
        </is>
      </c>
      <c r="F21" s="176">
        <f>IF(INPUTS!$C$9="LTL",IF(C21="","",C21),IF(B21="","",B21))</f>
        <v/>
      </c>
      <c r="G21" s="188">
        <f>IF(D21="","",D21)</f>
        <v/>
      </c>
    </row>
    <row r="22" ht="15" customHeight="1" s="85">
      <c r="A22" s="189" t="inlineStr">
        <is>
          <t>AL</t>
        </is>
      </c>
      <c r="B22" s="127" t="n"/>
      <c r="C22" s="127" t="n"/>
      <c r="D22" s="126" t="n"/>
      <c r="E22" s="183" t="inlineStr">
        <is>
          <t>NOT MEASURED</t>
        </is>
      </c>
      <c r="F22" s="176">
        <f>IF(INPUTS!$C$9="LTL",IF(C22="","",C22),IF(B22="","",B22))</f>
        <v/>
      </c>
      <c r="G22" s="188">
        <f>IF(D22="","",D22)</f>
        <v/>
      </c>
    </row>
    <row r="23" ht="15" customHeight="1" s="85">
      <c r="A23" s="189" t="inlineStr">
        <is>
          <t>PI</t>
        </is>
      </c>
      <c r="B23" s="127" t="n"/>
      <c r="C23" s="127" t="n"/>
      <c r="D23" s="126" t="n"/>
      <c r="E23" s="183" t="inlineStr">
        <is>
          <t>NOT MEASURED</t>
        </is>
      </c>
      <c r="F23" s="176">
        <f>IF(INPUTS!$C$9="LTL",IF(C23="","",C23),IF(B23="","",B23))</f>
        <v/>
      </c>
      <c r="G23" s="188">
        <f>IF(D23="","",D23)</f>
        <v/>
      </c>
    </row>
    <row r="24" ht="15" customHeight="1" s="85">
      <c r="A24" s="189" t="inlineStr">
        <is>
          <t>GO</t>
        </is>
      </c>
      <c r="B24" s="127" t="n"/>
      <c r="C24" s="127" t="n"/>
      <c r="D24" s="126" t="n"/>
      <c r="E24" s="183" t="inlineStr">
        <is>
          <t>NOT MEASURED</t>
        </is>
      </c>
      <c r="F24" s="176">
        <f>IF(INPUTS!$C$9="LTL",IF(C24="","",C24),IF(B24="","",B24))</f>
        <v/>
      </c>
      <c r="G24" s="188">
        <f>IF(D24="","",D24)</f>
        <v/>
      </c>
    </row>
    <row r="25" ht="15" customHeight="1" s="85">
      <c r="A25" s="189" t="inlineStr">
        <is>
          <t>TO</t>
        </is>
      </c>
      <c r="B25" s="127" t="n"/>
      <c r="C25" s="127" t="n"/>
      <c r="D25" s="126" t="n"/>
      <c r="E25" s="183" t="inlineStr">
        <is>
          <t>NOT MEASURED</t>
        </is>
      </c>
      <c r="F25" s="176">
        <f>IF(INPUTS!$C$9="LTL",IF(C25="","",C25),IF(B25="","",B25))</f>
        <v/>
      </c>
      <c r="G25" s="188">
        <f>IF(D25="","",D25)</f>
        <v/>
      </c>
    </row>
    <row r="26" ht="15" customHeight="1" s="85">
      <c r="A26" s="189" t="inlineStr">
        <is>
          <t>RJ</t>
        </is>
      </c>
      <c r="B26" s="127" t="n"/>
      <c r="C26" s="127" t="n"/>
      <c r="D26" s="126" t="n"/>
      <c r="E26" s="183" t="inlineStr">
        <is>
          <t>NOT MEASURED</t>
        </is>
      </c>
      <c r="F26" s="176">
        <f>IF(INPUTS!$C$9="LTL",IF(C26="","",C26),IF(B26="","",B26))</f>
        <v/>
      </c>
      <c r="G26" s="188">
        <f>IF(D26="","",D26)</f>
        <v/>
      </c>
    </row>
    <row r="27" ht="15" customHeight="1" s="85">
      <c r="A27" s="189" t="inlineStr">
        <is>
          <t>PR</t>
        </is>
      </c>
      <c r="B27" s="127" t="n"/>
      <c r="C27" s="127" t="n"/>
      <c r="D27" s="126" t="n"/>
      <c r="E27" s="183" t="inlineStr">
        <is>
          <t>NOT MEASURED</t>
        </is>
      </c>
      <c r="F27" s="176">
        <f>IF(INPUTS!$C$9="LTL",IF(C27="","",C27),IF(B27="","",B27))</f>
        <v/>
      </c>
      <c r="G27" s="188">
        <f>IF(D27="","",D27)</f>
        <v/>
      </c>
    </row>
    <row r="28" ht="15" customHeight="1" s="85">
      <c r="A28" s="189" t="inlineStr">
        <is>
          <t>SC</t>
        </is>
      </c>
      <c r="B28" s="127" t="n"/>
      <c r="C28" s="127" t="n"/>
      <c r="D28" s="126" t="n"/>
      <c r="E28" s="183" t="inlineStr">
        <is>
          <t>NOT MEASURED</t>
        </is>
      </c>
      <c r="F28" s="176">
        <f>IF(INPUTS!$C$9="LTL",IF(C28="","",C28),IF(B28="","",B28))</f>
        <v/>
      </c>
      <c r="G28" s="188">
        <f>IF(D28="","",D28)</f>
        <v/>
      </c>
    </row>
    <row r="29" ht="15" customHeight="1" s="85">
      <c r="A29" s="189" t="inlineStr">
        <is>
          <t>RS</t>
        </is>
      </c>
      <c r="B29" s="127" t="n"/>
      <c r="C29" s="127" t="n"/>
      <c r="D29" s="126" t="n"/>
      <c r="E29" s="183" t="inlineStr">
        <is>
          <t>NOT MEASURED</t>
        </is>
      </c>
      <c r="F29" s="176">
        <f>IF(INPUTS!$C$9="LTL",IF(C29="","",C29),IF(B29="","",B29))</f>
        <v/>
      </c>
      <c r="G29" s="188">
        <f>IF(D29="","",D29)</f>
        <v/>
      </c>
    </row>
    <row r="30" ht="15" customHeight="1" s="85">
      <c r="A30" s="189" t="inlineStr">
        <is>
          <t>AM</t>
        </is>
      </c>
      <c r="B30" s="127" t="n"/>
      <c r="C30" s="127" t="n"/>
      <c r="D30" s="126" t="n"/>
      <c r="E30" s="183" t="inlineStr">
        <is>
          <t>NOT MEASURED</t>
        </is>
      </c>
      <c r="F30" s="176">
        <f>IF(INPUTS!$C$9="LTL",IF(C30="","",C30),IF(B30="","",B30))</f>
        <v/>
      </c>
      <c r="G30" s="188">
        <f>IF(D30="","",D30)</f>
        <v/>
      </c>
    </row>
    <row r="31" ht="15" customHeight="1" s="85">
      <c r="A31" s="189" t="inlineStr">
        <is>
          <t>SP</t>
        </is>
      </c>
      <c r="B31" s="127" t="n"/>
      <c r="C31" s="127" t="n"/>
      <c r="D31" s="126" t="n"/>
      <c r="E31" s="183" t="inlineStr">
        <is>
          <t>NOT MEASURED</t>
        </is>
      </c>
      <c r="F31" s="176">
        <f>IF(INPUTS!$C$9="LTL",IF(C31="","",C31),IF(B31="","",B31))</f>
        <v/>
      </c>
      <c r="G31" s="188">
        <f>IF(D31="","",D31)</f>
        <v/>
      </c>
    </row>
  </sheetData>
  <conditionalFormatting sqref="A13:A31">
    <cfRule type="expression" rank="0" priority="2" equalAverage="0" aboveAverage="0" dxfId="2" text="" percent="0" bottom="0">
      <formula>$A13=INPUTS!$C$8</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808080"/>
    <outlinePr summaryBelow="1" summaryRight="1"/>
    <pageSetUpPr fitToPage="0"/>
  </sheetPr>
  <dimension ref="B2:C3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 customWidth="1" style="84" min="1" max="1"/>
    <col width="36" customWidth="1" style="84" min="2" max="2"/>
    <col width="124" customWidth="1" style="84" min="3" max="3"/>
  </cols>
  <sheetData>
    <row r="2" ht="17.35" customHeight="1" s="85">
      <c r="B2" s="125" t="inlineStr">
        <is>
          <t>SOURCES, CAVEATS, AND WHAT CHANGED</t>
        </is>
      </c>
    </row>
    <row r="4" ht="15" customHeight="1" s="85">
      <c r="B4" s="92" t="inlineStr">
        <is>
          <t>WHERE THE NUMBERS COME FROM</t>
        </is>
      </c>
      <c r="C4" s="93" t="n"/>
    </row>
    <row r="5" ht="30" customHeight="1" s="85">
      <c r="B5" s="110" t="inlineStr">
        <is>
          <t>Goods</t>
        </is>
      </c>
      <c r="C5" s="190" t="inlineStr">
        <is>
          <t>data/cost_table.csv — observed SP wholesale catalogue prices on 2026-09-19, supplier CNPJ and UF on every row. 16 of 17 lines priced; the kit bag is not.</t>
        </is>
      </c>
    </row>
    <row r="6" ht="30" customHeight="1" s="85">
      <c r="B6" s="110" t="inlineStr">
        <is>
          <t>Freight</t>
        </is>
      </c>
      <c r="C6" s="190" t="inlineStr">
        <is>
          <t>Correios PAC balcao public calculator and the STC Transportes published table, measured 2026-09-19 to CAPITAL CEPs only. Interior CEPs will differ. Only SP→CE has an LTL rate.</t>
        </is>
      </c>
    </row>
    <row r="7" ht="30" customHeight="1" s="85">
      <c r="B7" s="110" t="inlineStr">
        <is>
          <t>Assembly</t>
        </is>
      </c>
      <c r="C7" s="190" t="inlineStr">
        <is>
          <t>No co-packer publishes a per-kit price (data/copacking.md, 24 SP providers surveyed). Self-pack ceiling from config/capital.yaml: 8 h per won order at 2 min/kit.</t>
        </is>
      </c>
    </row>
    <row r="8" ht="30" customHeight="1" s="85">
      <c r="B8" s="110" t="inlineStr">
        <is>
          <t>Taxes</t>
        </is>
      </c>
      <c r="C8" s="190" t="inlineStr">
        <is>
          <t>Simples Anexo I effective rates (LC 123). IRRF 1,2% per IN RFB 1.234 unless the Anexo IV declaration is filed with every contract — there is no refund path if it is not.</t>
        </is>
      </c>
    </row>
    <row r="9" ht="30" customHeight="1" s="85">
      <c r="B9" s="110" t="inlineStr">
        <is>
          <t>Platform fees</t>
        </is>
      </c>
      <c r="C9" s="190" t="inlineStr">
        <is>
          <t>Regulamento BLL 2026 art. 17 (1,5%, cap R$600 above R$40k lots); BNC 2026 art. 24 (R$118,80/process); PCP adhesion page (R$129/process); Compras.gov.br free.</t>
        </is>
      </c>
    </row>
    <row r="10" ht="30" customHeight="1" s="85">
      <c r="B10" s="110" t="inlineStr">
        <is>
          <t>Days to cash</t>
        </is>
      </c>
      <c r="C10" s="190" t="inlineStr">
        <is>
          <t>docs/ORDER_TO_CASH.md — seven real editais. 34 best, 40–55 typical, 69 worst.</t>
        </is>
      </c>
    </row>
    <row r="11" ht="30" customHeight="1" s="85">
      <c r="B11" s="110" t="inlineStr">
        <is>
          <t>Capital, win count, fixed costs, FX</t>
        </is>
      </c>
      <c r="C11" s="190" t="inlineStr">
        <is>
          <t>From the written plan, not measured: R$15.600 capital, 21 lots a year, ~R$6.000 of annual fixed costs, 5,20 BRL/USD. All four sit on INPUTS and all four move the take-home figure. Treat them as arguments, not data.</t>
        </is>
      </c>
    </row>
    <row r="13" ht="15" customHeight="1" s="85">
      <c r="B13" s="92" t="inlineStr">
        <is>
          <t>WHAT THIS MODEL STILL IGNORES</t>
        </is>
      </c>
      <c r="C13" s="93" t="n"/>
    </row>
    <row r="14" ht="30" customHeight="1" s="85">
      <c r="B14" s="110" t="inlineStr">
        <is>
          <t>Not modelled</t>
        </is>
      </c>
      <c r="C14" s="190" t="inlineStr">
        <is>
          <t>Late-delivery fines (multa), sample costs, the SRP obligation to serve every call-off at the registered price, and the cost of LOSING bids — the per-process fees on BNC and PCP are charged whether you win or not.</t>
        </is>
      </c>
    </row>
    <row r="15" ht="30" customHeight="1" s="85">
      <c r="B15" s="110" t="inlineStr">
        <is>
          <t>Cash timing</t>
        </is>
      </c>
      <c r="C15" s="190" t="inlineStr">
        <is>
          <t>The annualised return assumes cash leaves on day 0. In reality the supplier is paid nearer day 11, so the real return on capital is better than shown. Deliberately conservative.</t>
        </is>
      </c>
    </row>
    <row r="16" ht="30" customHeight="1" s="85">
      <c r="B16" s="110" t="inlineStr">
        <is>
          <t>Freight basis</t>
        </is>
      </c>
      <c r="C16" s="190" t="inlineStr">
        <is>
          <t>A baby bath ships on volume, not weight. LTL carriers refuse to quote without a contract, so exactly one published table exists. Treat any non-CE LTL number as unknown.</t>
        </is>
      </c>
    </row>
    <row r="17" ht="30" customHeight="1" s="85">
      <c r="B17" s="110" t="inlineStr">
        <is>
          <t>Supplier terms</t>
        </is>
      </c>
      <c r="C17" s="190" t="inlineStr">
        <is>
          <t>The model assumes you pay cash. 28-day supplier terms would roughly triple the lots your capital can carry — the single highest-value thing on this page and it costs nothing but asking.</t>
        </is>
      </c>
    </row>
    <row r="19" ht="15" customHeight="1" s="85">
      <c r="B19" s="92" t="inlineStr">
        <is>
          <t>WHAT CHANGED IN THIS REBUILD</t>
        </is>
      </c>
      <c r="C19" s="93" t="n"/>
    </row>
    <row r="20" ht="30" customHeight="1" s="85">
      <c r="B20" s="110" t="inlineStr">
        <is>
          <t>Decision moved to the front</t>
        </is>
      </c>
      <c r="C20" s="190" t="inlineStr">
        <is>
          <t>The verdict used to sit at row 58, below six numbered sections. It is now the first thing on the first sheet.</t>
        </is>
      </c>
    </row>
    <row r="21" ht="30" customHeight="1" s="85">
      <c r="B21" s="110" t="inlineStr">
        <is>
          <t>Income made visible</t>
        </is>
      </c>
      <c r="C21" s="190" t="inlineStr">
        <is>
          <t>The old model stopped at profit per lot. It never said what you earn. VERDICT now carries pay per hour, take-home per year and per month, and the hours it costs you — and DEAL shows the arithmetic.</t>
        </is>
      </c>
    </row>
    <row r="22" ht="30" customHeight="1" s="85">
      <c r="B22" s="110" t="inlineStr">
        <is>
          <t>Capital ceiling computed</t>
        </is>
      </c>
      <c r="C22" s="190" t="inlineStr">
        <is>
          <t>New: cash per lot → lots you can carry at once → lots a year your capital allows. Check 5 compares that against the year you planned. Income is capped by cash, not by the number of tenders.</t>
        </is>
      </c>
    </row>
    <row r="23" ht="30" customHeight="1" s="85">
      <c r="B23" s="110" t="inlineStr">
        <is>
          <t>Typed cells all in one place</t>
        </is>
      </c>
      <c r="C23" s="190" t="inlineStr">
        <is>
          <t>Inputs and formulas used to be interleaved down one column, so 'type in the blue cells only' meant scanning thirty rows. Every typed cell now lives on INPUTS and nowhere else.</t>
        </is>
      </c>
    </row>
    <row r="24" ht="30" customHeight="1" s="85">
      <c r="B24" s="110" t="inlineStr">
        <is>
          <t>Verdict no longer hides failures</t>
        </is>
      </c>
      <c r="C24" s="190" t="inlineStr">
        <is>
          <t>The old nested IF returned the FIRST problem only — it reported 'THIN' while silently swallowing an unpriced BOM line and an unset capital figure. Nine checks now report independently, with the count in the headline.</t>
        </is>
      </c>
    </row>
    <row r="25" ht="30" customHeight="1" s="85">
      <c r="B25" s="110" t="inlineStr">
        <is>
          <t>Sensitivity grid follows your UF</t>
        </is>
      </c>
      <c r="C25" s="190" t="inlineStr">
        <is>
          <t>The old grid's four freight columns were hardcoded to CE/BA/PE/MA values. Pick MG and no column showed your real freight. Grid A's first column is now your own UF and mode.</t>
        </is>
      </c>
    </row>
    <row r="26" ht="30" customHeight="1" s="85">
      <c r="B26" s="110" t="inlineStr">
        <is>
          <t>Second grid added</t>
        </is>
      </c>
      <c r="C26" s="190" t="inlineStr">
        <is>
          <t>Grid B trades bid level against supplier discount at your real freight — the two things you can actually negotiate.</t>
        </is>
      </c>
    </row>
    <row r="27" ht="30" customHeight="1" s="85">
      <c r="B27" s="110" t="inlineStr">
        <is>
          <t>Tax bracket cross-checked</t>
        </is>
      </c>
      <c r="C27" s="190" t="inlineStr">
        <is>
          <t>Check 9 compares the RBT12 you typed against the revenue your win-count implies. The old default sat in the 4,00% band while the plan implied a 7,58% one.</t>
        </is>
      </c>
    </row>
    <row r="28" ht="30" customHeight="1" s="85">
      <c r="B28" s="110" t="inlineStr">
        <is>
          <t>BOM sorted by cost</t>
        </is>
      </c>
      <c r="C28" s="190" t="inlineStr">
        <is>
          <t>Largest line first, each as a % of goods cost, unpriced line highlighted and counted rather than passing through as a silent zero.</t>
        </is>
      </c>
    </row>
    <row r="30" ht="15" customHeight="1" s="85">
      <c r="B30" s="92" t="inlineStr">
        <is>
          <t>THINGS WORTH ARGUING WITH</t>
        </is>
      </c>
      <c r="C30" s="93" t="n"/>
    </row>
    <row r="31" ht="31.5" customHeight="1" s="85">
      <c r="B31" s="110" t="inlineStr">
        <is>
          <t>The 45% discount</t>
        </is>
      </c>
      <c r="C31" s="191" t="inlineStr">
        <is>
          <t>Nothing in this workbook works at 0% off list. Almost everything works at 45%. That single unverified number IS the business. Get it in writing before anything else happens.</t>
        </is>
      </c>
    </row>
    <row r="32" ht="39.75" customHeight="1" s="85">
      <c r="B32" s="110" t="inlineStr">
        <is>
          <t>Parcel freight</t>
        </is>
      </c>
      <c r="C32" s="191" t="inlineStr">
        <is>
          <t>At R$116–188 per kit, PAC exceeds the entire gross margin on a R$269 bid. In Grid A the parcel columns are red at every discount level including 50%. Parcel delivery is not a worse version of this business — it is a different business that does not work.</t>
        </is>
      </c>
    </row>
    <row r="33" ht="39.75" customHeight="1" s="85">
      <c r="B33" s="110" t="inlineStr">
        <is>
          <t>The written plan's 52% gross margin</t>
        </is>
      </c>
      <c r="C33" s="191" t="inlineStr">
        <is>
          <t>The plan assumes ~52% gross and R$360k of sales at 21 wins. With this BOM and this freight the same lot models at about 6% gross. One of the two documents is wrong, and the one with supplier CNPJs on every line is not it.</t>
        </is>
      </c>
    </row>
    <row r="34" ht="31.5" customHeight="1" s="85">
      <c r="B34" s="110" t="inlineStr">
        <is>
          <t>Coari concentration</t>
        </is>
      </c>
      <c r="C34" s="191" t="inlineStr">
        <is>
          <t>The plan notes one Amazon town is 34,8% of the winnable margin. Nothing in this model reflects that, and freight to AM is unmeasured. Model it before counting on 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2026-09-19T22:13:28Z</dcterms:created>
  <dcterms:modified xsi:type="dcterms:W3CDTF">2026-09-19T22:29:21Z</dcterms:modified>
  <cp:revision>0</cp:revision>
</cp:coreProperties>
</file>