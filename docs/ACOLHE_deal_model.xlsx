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AL" sheetId="1" state="visible" r:id="rId1"/>
    <sheet name="BOM" sheetId="2" state="visible" r:id="rId2"/>
    <sheet name="FREIGH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.00;(&quot;R$&quot; #,##0.00);-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8000"/>
      <sz val="10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top" wrapText="1"/>
    </xf>
    <xf numFmtId="3" fontId="4" fillId="3" borderId="1" pivotButton="0" quotePrefix="0" xfId="0"/>
    <xf numFmtId="0" fontId="6" fillId="0" borderId="0" applyAlignment="1" pivotButton="0" quotePrefix="0" xfId="0">
      <alignment vertical="top" wrapText="1"/>
    </xf>
    <xf numFmtId="164" fontId="4" fillId="3" borderId="1" pivotButton="0" quotePrefix="0" xfId="0"/>
    <xf numFmtId="165" fontId="4" fillId="3" borderId="1" pivotButton="0" quotePrefix="0" xfId="0"/>
    <xf numFmtId="49" fontId="4" fillId="3" borderId="1" pivotButton="0" quotePrefix="0" xfId="0"/>
    <xf numFmtId="0" fontId="0" fillId="0" borderId="0" applyAlignment="1" pivotButton="0" quotePrefix="0" xfId="0">
      <alignment vertical="top" wrapText="1"/>
    </xf>
    <xf numFmtId="164" fontId="7" fillId="0" borderId="1" pivotButton="0" quotePrefix="0" xfId="0"/>
    <xf numFmtId="164" fontId="2" fillId="0" borderId="1" pivotButton="0" quotePrefix="0" xfId="0"/>
    <xf numFmtId="0" fontId="5" fillId="0" borderId="0" pivotButton="0" quotePrefix="0" xfId="0"/>
    <xf numFmtId="164" fontId="5" fillId="0" borderId="1" pivotButton="0" quotePrefix="0" xfId="0"/>
    <xf numFmtId="165" fontId="2" fillId="0" borderId="1" pivotButton="0" quotePrefix="0" xfId="0"/>
    <xf numFmtId="165" fontId="5" fillId="0" borderId="1" pivotButton="0" quotePrefix="0" xfId="0"/>
    <xf numFmtId="3" fontId="2" fillId="0" borderId="1" pivotButton="0" quotePrefix="0" xfId="0"/>
    <xf numFmtId="49" fontId="2" fillId="0" borderId="1" pivotButton="0" quotePrefix="0" xfId="0"/>
    <xf numFmtId="49" fontId="5" fillId="4" borderId="1" pivotButton="0" quotePrefix="0" xfId="0"/>
    <xf numFmtId="0" fontId="5" fillId="0" borderId="0" applyAlignment="1" pivotButton="0" quotePrefix="0" xfId="0">
      <alignment horizontal="center" wrapText="1"/>
    </xf>
    <xf numFmtId="165" fontId="4" fillId="3" borderId="1" applyAlignment="1" pivotButton="0" quotePrefix="0" xfId="0">
      <alignment horizontal="right"/>
    </xf>
    <xf numFmtId="0" fontId="6" fillId="0" borderId="0" pivotButton="0" quotePrefix="0" xfId="0"/>
    <xf numFmtId="0" fontId="8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wrapText="1"/>
    </xf>
    <xf numFmtId="0" fontId="2" fillId="0" borderId="1" pivotButton="0" quotePrefix="0" xfId="0"/>
    <xf numFmtId="3" fontId="5" fillId="0" borderId="0" pivotButton="0" quotePrefix="0" xfId="0"/>
    <xf numFmtId="0" fontId="2" fillId="0" borderId="0" applyAlignment="1" pivotButton="0" quotePrefix="0" xfId="0">
      <alignment wrapText="1"/>
    </xf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8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  <col width="18" customWidth="1" min="5" max="5"/>
    <col width="18" customWidth="1" min="6" max="6"/>
  </cols>
  <sheetData>
    <row r="1">
      <c r="B1" s="1" t="inlineStr">
        <is>
          <t>ACOLHE -- does this deal pencil?</t>
        </is>
      </c>
    </row>
    <row r="2">
      <c r="B2" s="2" t="inlineStr">
        <is>
          <t>Type in the BLUE cells only. Everything else recalculates. One tender per copy of this file.</t>
        </is>
      </c>
    </row>
    <row r="4">
      <c r="B4" s="3" t="inlineStr">
        <is>
          <t>1. THE TENDER</t>
        </is>
      </c>
      <c r="C4" s="3" t="n"/>
      <c r="D4" s="4" t="n"/>
    </row>
    <row r="5" ht="27" customHeight="1">
      <c r="B5" s="2" t="inlineStr">
        <is>
          <t>Kits in the lot (quantidade)</t>
        </is>
      </c>
      <c r="C5" s="5" t="n">
        <v>100</v>
      </c>
      <c r="D5" s="6" t="inlineStr">
        <is>
          <t>For an SRP use the quantity you expect to be called off, not the ceiling.</t>
        </is>
      </c>
    </row>
    <row r="6" ht="27" customHeight="1">
      <c r="B6" s="2" t="inlineStr">
        <is>
          <t>Buyer's estimated price per kit (valor estimado / kit)</t>
        </is>
      </c>
      <c r="C6" s="7" t="n">
        <v>359.05</v>
      </c>
      <c r="D6" s="6" t="inlineStr">
        <is>
          <t>From the edital. R$359,05 was the Itaquaquecetuba 2025 estimate for a 17-item kit.</t>
        </is>
      </c>
    </row>
    <row r="7" ht="27" customHeight="1">
      <c r="B7" s="2" t="inlineStr">
        <is>
          <t>My bid as % of the estimate</t>
        </is>
      </c>
      <c r="C7" s="8" t="n">
        <v>0.75</v>
      </c>
      <c r="D7" s="6" t="inlineStr">
        <is>
          <t>75% is the opening anchor in price/margin.py. Per-item lines clear at 97-100%; lote unico at 36-63%.</t>
        </is>
      </c>
    </row>
    <row r="8" ht="27" customHeight="1">
      <c r="B8" s="2" t="inlineStr">
        <is>
          <t>Buyer UF</t>
        </is>
      </c>
      <c r="C8" s="9" t="inlineStr">
        <is>
          <t>CE</t>
        </is>
      </c>
      <c r="D8" s="6" t="inlineStr">
        <is>
          <t>Two letters. Drives freight and transit from the FREIGHT sheet.</t>
        </is>
      </c>
    </row>
    <row r="9" ht="27" customHeight="1">
      <c r="B9" s="2" t="inlineStr">
        <is>
          <t>Delivery mode: LTL or PARCEL</t>
        </is>
      </c>
      <c r="C9" s="9" t="inlineStr">
        <is>
          <t>LTL</t>
        </is>
      </c>
      <c r="D9" s="6" t="inlineStr">
        <is>
          <t>LTL only when the edital delivers the WHOLE lot to ONE address in one go. 'Parcelado' or addresses per ordem de fornecimento = PARCEL.</t>
        </is>
      </c>
    </row>
    <row r="10" ht="27" customHeight="1">
      <c r="B10" s="2" t="inlineStr">
        <is>
          <t>Days from empenho to cash in bank</t>
        </is>
      </c>
      <c r="C10" s="5" t="n">
        <v>45</v>
      </c>
      <c r="D10" s="6" t="inlineStr">
        <is>
          <t>Measured on 7 editais: 34 best, 40-55 typical, 69 worst (docs/ORDER_TO_CASH.md).</t>
        </is>
      </c>
    </row>
    <row r="11" ht="16" customHeight="1">
      <c r="D11" s="10" t="n"/>
    </row>
    <row r="12" ht="16" customHeight="1">
      <c r="B12" s="3" t="inlineStr">
        <is>
          <t>2. MY COST PER KIT</t>
        </is>
      </c>
      <c r="C12" s="3" t="n"/>
      <c r="D12" s="4" t="n"/>
    </row>
    <row r="13" ht="27" customHeight="1">
      <c r="B13" s="2" t="inlineStr">
        <is>
          <t>Goods per kit at list price (BOM sheet)</t>
        </is>
      </c>
      <c r="C13" s="11">
        <f>BOM!$E$22</f>
        <v/>
      </c>
      <c r="D13" s="6" t="inlineStr">
        <is>
          <t>Sum of the 16 priced lines. Edit unit costs/quantities on the BOM sheet.</t>
        </is>
      </c>
    </row>
    <row r="14" ht="27" customHeight="1">
      <c r="B14" s="2" t="inlineStr">
        <is>
          <t>Supplier discount off list (account tier)</t>
        </is>
      </c>
      <c r="C14" s="8" t="n">
        <v>0</v>
      </c>
      <c r="D14" s="6" t="inlineStr">
        <is>
          <t>0% until an account is opened. ~45% is the UNVERIFIED account-tier figure; do not use it until quoted.</t>
        </is>
      </c>
    </row>
    <row r="15" ht="27" customHeight="1">
      <c r="B15" s="2" t="inlineStr">
        <is>
          <t>Allowance for unpriced lines (kit_enxoval bag etc.)</t>
        </is>
      </c>
      <c r="C15" s="7" t="n">
        <v>0</v>
      </c>
      <c r="D15" s="6" t="inlineStr">
        <is>
          <t>BOM has 1 unpriced line. Leave 0 only if you accept that risk; the verdict flags it.</t>
        </is>
      </c>
    </row>
    <row r="16" ht="27" customHeight="1">
      <c r="B16" s="2" t="inlineStr">
        <is>
          <t>Self-pack ceiling (kits you can pack yourself per order)</t>
        </is>
      </c>
      <c r="C16" s="5" t="n">
        <v>240</v>
      </c>
      <c r="D16" s="6" t="inlineStr">
        <is>
          <t>config/capital.yaml: 8 h per won order at 2 min/kit. Above this a co-packer is REQUIRED.</t>
        </is>
      </c>
    </row>
    <row r="17" ht="27" customHeight="1">
      <c r="B17" s="2" t="inlineStr">
        <is>
          <t>Co-packer cost per kit (if lot &gt; ceiling)</t>
        </is>
      </c>
      <c r="C17" s="7" t="n"/>
      <c r="D17" s="6" t="inlineStr">
        <is>
          <t>NO QUOTE EXISTS. 24 SP providers surveyed, none publishes a price. Blank = unknown -&gt; verdict blocks.</t>
        </is>
      </c>
    </row>
    <row r="18" ht="27" customHeight="1">
      <c r="B18" s="2" t="inlineStr">
        <is>
          <t>Assembly per kit</t>
        </is>
      </c>
      <c r="C18" s="12">
        <f>IF(C5&lt;=C16,0,IF(C17="","",C17))</f>
        <v/>
      </c>
      <c r="D18" s="6" t="inlineStr">
        <is>
          <t>0 when you pack it yourself; the co-packer figure otherwise; blank = unknown.</t>
        </is>
      </c>
    </row>
    <row r="19" ht="27" customHeight="1">
      <c r="B19" s="2" t="inlineStr">
        <is>
          <t>Freight per kit from the FREIGHT sheet</t>
        </is>
      </c>
      <c r="C19" s="11">
        <f>IFERROR(IF(C9="LTL",IF(INDEX(FREIGHT!$C$5:$C$23,MATCH(C8,FREIGHT!$A$5:$A$23,0))="","",INDEX(FREIGHT!$C$5:$C$23,MATCH(C8,FREIGHT!$A$5:$A$23,0))),IF(INDEX(FREIGHT!$B$5:$B$23,MATCH(C8,FREIGHT!$A$5:$A$23,0))="","",INDEX(FREIGHT!$B$5:$B$23,MATCH(C8,FREIGHT!$A$5:$A$23,0)))),"")</f>
        <v/>
      </c>
      <c r="D19" s="6" t="inlineStr">
        <is>
          <t>Blank = not measured for that UF/mode. Override below if you have a real quote.</t>
        </is>
      </c>
    </row>
    <row r="20" ht="27" customHeight="1">
      <c r="B20" s="2" t="inlineStr">
        <is>
          <t>Freight per kit OVERRIDE (leave blank to use the table)</t>
        </is>
      </c>
      <c r="C20" s="7" t="n"/>
      <c r="D20" s="6" t="inlineStr">
        <is>
          <t>Type a quoted figure here to replace the table value.</t>
        </is>
      </c>
    </row>
    <row r="21" ht="16" customHeight="1">
      <c r="B21" s="2" t="inlineStr">
        <is>
          <t>Freight per kit USED</t>
        </is>
      </c>
      <c r="C21" s="12">
        <f>IF(C20&lt;&gt;"",C20,IF(C19="","",C19))</f>
        <v/>
      </c>
      <c r="D21" s="6" t="inlineStr"/>
    </row>
    <row r="22" ht="27" customHeight="1">
      <c r="B22" s="2" t="inlineStr">
        <is>
          <t>Packaging / box / label per kit</t>
        </is>
      </c>
      <c r="C22" s="7" t="n">
        <v>0</v>
      </c>
      <c r="D22" s="6" t="inlineStr">
        <is>
          <t>Not yet costed. A 60x40x40 box is not free.</t>
        </is>
      </c>
    </row>
    <row r="23" ht="27" customHeight="1">
      <c r="B23" s="13" t="inlineStr">
        <is>
          <t>TOTAL COST PER KIT</t>
        </is>
      </c>
      <c r="C23" s="14">
        <f>IF(OR(C18="",C21=""),"",C13*(1-C14)+C15+C18+C21+C22)</f>
        <v/>
      </c>
      <c r="D23" s="6" t="inlineStr">
        <is>
          <t>Blank means a cost leg is unknown -- that is a NO BID, not a zero.</t>
        </is>
      </c>
    </row>
    <row r="24" ht="16" customHeight="1">
      <c r="D24" s="10" t="n"/>
    </row>
    <row r="25" ht="16" customHeight="1">
      <c r="B25" s="3" t="inlineStr">
        <is>
          <t>3. TAXES, FEES, CAPITAL</t>
        </is>
      </c>
      <c r="C25" s="3" t="n"/>
      <c r="D25" s="4" t="n"/>
    </row>
    <row r="26" ht="27" customHeight="1">
      <c r="B26" s="2" t="inlineStr">
        <is>
          <t>Revenue last 12 months (RBT12) for the Simples bracket</t>
        </is>
      </c>
      <c r="C26" s="7" t="n">
        <v>180000</v>
      </c>
      <c r="D26" s="6" t="inlineStr">
        <is>
          <t>First year: use the lot revenue x expected lots. Anexo I brackets: &lt;=180k 4,00% | 360k 5,65% | 500k 6,73% | 720k 7,58%.</t>
        </is>
      </c>
    </row>
    <row r="27" ht="27" customHeight="1">
      <c r="B27" s="2" t="inlineStr">
        <is>
          <t>Simples Nacional rate on revenue</t>
        </is>
      </c>
      <c r="C27" s="15">
        <f>IF(C26&lt;=180000,0.04,IF(C26&lt;=360000,0.0565,IF(C26&lt;=500000,0.0673,0.0758)))</f>
        <v/>
      </c>
      <c r="D27" s="6" t="inlineStr">
        <is>
          <t>LC 123 Anexo I, effective rate (price/margin.py).</t>
        </is>
      </c>
    </row>
    <row r="28" ht="27" customHeight="1">
      <c r="B28" s="2" t="inlineStr">
        <is>
          <t>IRRF withheld by the buyer</t>
        </is>
      </c>
      <c r="C28" s="8" t="n">
        <v>0</v>
      </c>
      <c r="D28" s="6" t="inlineStr">
        <is>
          <t>0% if the IN RFB 1.234 Anexo IV declaration is filed with every contract. 1,2% if it is not -- and there is no refund path.</t>
        </is>
      </c>
    </row>
    <row r="29" ht="27" customHeight="1">
      <c r="B29" s="2" t="inlineStr">
        <is>
          <t>Platform fee as % of lot value</t>
        </is>
      </c>
      <c r="C29" s="8" t="n">
        <v>0.015</v>
      </c>
      <c r="D29" s="6" t="inlineStr">
        <is>
          <t>BLL: 1,5% of the lote adjudicado, only on a win. Compras.gov.br: 0%.</t>
        </is>
      </c>
    </row>
    <row r="30" ht="27" customHeight="1">
      <c r="B30" s="2" t="inlineStr">
        <is>
          <t>Platform fee cap (R$)</t>
        </is>
      </c>
      <c r="C30" s="7" t="n">
        <v>600</v>
      </c>
      <c r="D30" s="6" t="inlineStr">
        <is>
          <t>BLL caps at R$600 when the lote &gt; R$40.000. Put a huge number for no cap.</t>
        </is>
      </c>
    </row>
    <row r="31" ht="27" customHeight="1">
      <c r="B31" s="2" t="inlineStr">
        <is>
          <t>Platform fixed fee per process (R$)</t>
        </is>
      </c>
      <c r="C31" s="7" t="n">
        <v>0</v>
      </c>
      <c r="D31" s="6" t="inlineStr">
        <is>
          <t>BNC R$118,80 / PCP R$129 per process even if you lose. BLL and Compras.gov.br: 0.</t>
        </is>
      </c>
    </row>
    <row r="32" ht="27" customHeight="1">
      <c r="B32" s="2" t="inlineStr">
        <is>
          <t>Capital available (R$)</t>
        </is>
      </c>
      <c r="C32" s="7" t="n"/>
      <c r="D32" s="6" t="inlineStr">
        <is>
          <t>THE DIAL. Blank = unknown; the verdict says so instead of assuming.</t>
        </is>
      </c>
    </row>
    <row r="33" ht="27" customHeight="1">
      <c r="B33" s="2" t="inlineStr">
        <is>
          <t>Target NET margin</t>
        </is>
      </c>
      <c r="C33" s="8" t="n">
        <v>0.15</v>
      </c>
      <c r="D33" s="6" t="inlineStr">
        <is>
          <t>What 'pencils' means to you. Change it and the required price moves.</t>
        </is>
      </c>
    </row>
    <row r="34" ht="16" customHeight="1">
      <c r="D34" s="10" t="n"/>
    </row>
    <row r="35" ht="16" customHeight="1">
      <c r="B35" s="3" t="inlineStr">
        <is>
          <t>4. THE DEAL</t>
        </is>
      </c>
      <c r="C35" s="3" t="n"/>
      <c r="D35" s="4" t="n"/>
    </row>
    <row r="36" ht="16" customHeight="1">
      <c r="B36" s="2" t="inlineStr">
        <is>
          <t>Bid price per kit</t>
        </is>
      </c>
      <c r="C36" s="12">
        <f>C6*C7</f>
        <v/>
      </c>
      <c r="D36" s="6" t="inlineStr"/>
    </row>
    <row r="37" ht="16" customHeight="1">
      <c r="B37" s="2" t="inlineStr">
        <is>
          <t>Revenue (lot)</t>
        </is>
      </c>
      <c r="C37" s="12">
        <f>C36*C5</f>
        <v/>
      </c>
      <c r="D37" s="6" t="inlineStr"/>
    </row>
    <row r="38" ht="16" customHeight="1">
      <c r="B38" s="2" t="inlineStr">
        <is>
          <t>Cost of goods + freight + assembly (lot)</t>
        </is>
      </c>
      <c r="C38" s="12">
        <f>IF(C23="","",C23*C5)</f>
        <v/>
      </c>
      <c r="D38" s="6" t="inlineStr"/>
    </row>
    <row r="39" ht="16" customHeight="1">
      <c r="B39" s="2" t="inlineStr">
        <is>
          <t>Gross profit (lot)</t>
        </is>
      </c>
      <c r="C39" s="12">
        <f>IF(C38="","",C37-C38)</f>
        <v/>
      </c>
      <c r="D39" s="6" t="inlineStr"/>
    </row>
    <row r="40" ht="16" customHeight="1">
      <c r="B40" s="2" t="inlineStr">
        <is>
          <t>Gross margin %</t>
        </is>
      </c>
      <c r="C40" s="15">
        <f>IF(C39="","",IF(C37=0,0,C39/C37))</f>
        <v/>
      </c>
      <c r="D40" s="6" t="inlineStr"/>
    </row>
    <row r="41" ht="16" customHeight="1">
      <c r="B41" s="2" t="inlineStr">
        <is>
          <t>Simples tax</t>
        </is>
      </c>
      <c r="C41" s="12">
        <f>C37*C27</f>
        <v/>
      </c>
      <c r="D41" s="6" t="inlineStr"/>
    </row>
    <row r="42" ht="16" customHeight="1">
      <c r="B42" s="2" t="inlineStr">
        <is>
          <t>IRRF withheld</t>
        </is>
      </c>
      <c r="C42" s="12">
        <f>C37*C28</f>
        <v/>
      </c>
      <c r="D42" s="6" t="inlineStr"/>
    </row>
    <row r="43" ht="16" customHeight="1">
      <c r="B43" s="2" t="inlineStr">
        <is>
          <t>Platform fee</t>
        </is>
      </c>
      <c r="C43" s="12">
        <f>MIN(C37*C29,C30)+C31</f>
        <v/>
      </c>
      <c r="D43" s="6" t="inlineStr"/>
    </row>
    <row r="44" ht="16" customHeight="1">
      <c r="B44" s="13" t="inlineStr">
        <is>
          <t>NET PROFIT (lot)</t>
        </is>
      </c>
      <c r="C44" s="14">
        <f>IF(C39="","",C39-C41-C42-C43)</f>
        <v/>
      </c>
      <c r="D44" s="6" t="inlineStr"/>
    </row>
    <row r="45" ht="16" customHeight="1">
      <c r="B45" s="13" t="inlineStr">
        <is>
          <t>NET MARGIN %</t>
        </is>
      </c>
      <c r="C45" s="16">
        <f>IF(C44="","",IF(C37=0,0,C44/C37))</f>
        <v/>
      </c>
      <c r="D45" s="6" t="inlineStr"/>
    </row>
    <row r="46" ht="16" customHeight="1">
      <c r="B46" s="2" t="inlineStr">
        <is>
          <t>Net profit per kit</t>
        </is>
      </c>
      <c r="C46" s="12">
        <f>IF(C44="","",C44/C5)</f>
        <v/>
      </c>
      <c r="D46" s="6" t="inlineStr"/>
    </row>
    <row r="47" ht="27" customHeight="1">
      <c r="B47" s="2" t="inlineStr">
        <is>
          <t>Cash you must put up before the buyer pays</t>
        </is>
      </c>
      <c r="C47" s="12">
        <f>IF(C38="","",C38+C31)</f>
        <v/>
      </c>
      <c r="D47" s="6" t="inlineStr">
        <is>
          <t>Goods, freight, assembly and any fixed fee are paid before the empenho pays out.</t>
        </is>
      </c>
    </row>
    <row r="48" ht="27" customHeight="1">
      <c r="B48" s="2" t="inlineStr">
        <is>
          <t>Annualised return on that cash</t>
        </is>
      </c>
      <c r="C48" s="15">
        <f>IF(OR(C44="",C47=""),"",IF(C47=0,0,C44/C47*365/C10))</f>
        <v/>
      </c>
      <c r="D48" s="6" t="inlineStr">
        <is>
          <t>Net profit / cash tied up, scaled by the days to cash.</t>
        </is>
      </c>
    </row>
    <row r="49" ht="27" customHeight="1">
      <c r="B49" s="2" t="inlineStr">
        <is>
          <t>Hours of your time this order allows (C9)</t>
        </is>
      </c>
      <c r="C49" s="17">
        <f>8</f>
        <v/>
      </c>
      <c r="D49" s="6" t="inlineStr">
        <is>
          <t>Constraint C9: &lt;= 8 h per won order. A lot above the self-pack ceiling needs a co-packer.</t>
        </is>
      </c>
    </row>
    <row r="50" ht="16" customHeight="1">
      <c r="D50" s="10" t="n"/>
    </row>
    <row r="51" ht="16" customHeight="1">
      <c r="B51" s="3" t="inlineStr">
        <is>
          <t>5. WHAT THIS DEAL NEEDS TO LOOK LIKE</t>
        </is>
      </c>
      <c r="C51" s="3" t="n"/>
      <c r="D51" s="4" t="n"/>
    </row>
    <row r="52" ht="27" customHeight="1">
      <c r="B52" s="2" t="inlineStr">
        <is>
          <t>Break-even price per kit (net profit = 0)</t>
        </is>
      </c>
      <c r="C52" s="12">
        <f>IF(C23="","",(C23+C31/C5)/(1-C27-C28-C29))</f>
        <v/>
      </c>
      <c r="D52" s="6" t="inlineStr">
        <is>
          <t>Below this you lose money. Ignores the platform cap (conservative).</t>
        </is>
      </c>
    </row>
    <row r="53" ht="16" customHeight="1">
      <c r="B53" s="2" t="inlineStr">
        <is>
          <t>Price per kit for the target net margin</t>
        </is>
      </c>
      <c r="C53" s="12">
        <f>IF(C23="","",(C23+C31/C5)/(1-C27-C28-C29-C33))</f>
        <v/>
      </c>
      <c r="D53" s="6" t="inlineStr"/>
    </row>
    <row r="54" ht="27" customHeight="1">
      <c r="B54" s="2" t="inlineStr">
        <is>
          <t xml:space="preserve">  ...as % of the buyer's estimate</t>
        </is>
      </c>
      <c r="C54" s="15">
        <f>IF(C53="","",C53/C6)</f>
        <v/>
      </c>
      <c r="D54" s="6" t="inlineStr">
        <is>
          <t>If this is above ~97% the lot cannot be won at target: per-item lines clear at 97-100%, lote unico far lower.</t>
        </is>
      </c>
    </row>
    <row r="55" ht="27" customHeight="1">
      <c r="B55" s="2" t="inlineStr">
        <is>
          <t>Max cost per kit at my bid for the target margin</t>
        </is>
      </c>
      <c r="C55" s="12">
        <f>C36*(1-C27-C28-C29-C33)-C31/C5</f>
        <v/>
      </c>
      <c r="D55" s="6" t="inlineStr">
        <is>
          <t>What goods+freight+assembly must come in under.</t>
        </is>
      </c>
    </row>
    <row r="56" ht="27" customHeight="1">
      <c r="B56" s="2" t="inlineStr">
        <is>
          <t>Freight per kit that would still hit target (rest of cost fixed)</t>
        </is>
      </c>
      <c r="C56" s="12">
        <f>IF(C18="","",C55-C13*(1-C14)-C15-C18-C22)</f>
        <v/>
      </c>
      <c r="D56" s="6" t="inlineStr">
        <is>
          <t>Negative = no freight price saves it at this bid.</t>
        </is>
      </c>
    </row>
    <row r="57" ht="16" customHeight="1">
      <c r="B57" s="2" t="inlineStr">
        <is>
          <t>Capital check</t>
        </is>
      </c>
      <c r="C57" s="18">
        <f>IF(C32="","UNKNOWN -- set capital in C32",IF(C47="","UNKNOWN -- cost incomplete",IF(C47&lt;=C32,"OK","SHORT by R$ "&amp;TEXT(C47-C32,"#,##0"))))</f>
        <v/>
      </c>
      <c r="D57" s="6" t="inlineStr"/>
    </row>
    <row r="58" ht="16" customHeight="1">
      <c r="B58" s="13" t="inlineStr">
        <is>
          <t>VERDICT</t>
        </is>
      </c>
      <c r="C58" s="19">
        <f>IF(C23="","NO BID -- a cost leg is unknown (assembly or freight blank)",IF(C45&lt;0,"NO -- loses money",IF(C45&lt;C33,"THIN -- net "&amp;TEXT(C45,"0.0%")&amp;" below target "&amp;TEXT(C33,"0%"),IF(AND(C32&lt;&gt;"",C47&gt;C32),"PENCILS BUT CANNOT FUND -- "&amp;C57,IF(C5&gt;C16,"PENCILS -- needs a co-packer (lot &gt; self-pack ceiling)",IF(BOM!$E$23&gt;0,"PENCILS -- but "&amp;BOM!$E$23&amp;" BOM line(s) unpriced; allowance in C15 is your guess","PENCILS"))))))</f>
        <v/>
      </c>
      <c r="D58" s="6" t="inlineStr"/>
    </row>
    <row r="60">
      <c r="B60" s="3" t="inlineStr">
        <is>
          <t>6. SENSITIVITY -- net margin % by bid level and freight per kit</t>
        </is>
      </c>
      <c r="C60" s="3" t="n"/>
      <c r="D60" s="3" t="n"/>
    </row>
    <row r="61">
      <c r="B61" s="13" t="inlineStr">
        <is>
          <t>Bid as % of estimate  \  freight per kit (R$)</t>
        </is>
      </c>
      <c r="C61" s="20" t="inlineStr">
        <is>
          <t>LTL SP-&gt;CE</t>
        </is>
      </c>
      <c r="D61" s="20" t="inlineStr">
        <is>
          <t>PAC to BA</t>
        </is>
      </c>
      <c r="E61" s="20" t="inlineStr">
        <is>
          <t>PAC to CE/PE/PA</t>
        </is>
      </c>
      <c r="F61" s="20" t="inlineStr">
        <is>
          <t>PAC to MA/SE/RN</t>
        </is>
      </c>
    </row>
    <row r="62">
      <c r="B62" s="2" t="inlineStr">
        <is>
          <t>freight per kit -&gt;</t>
        </is>
      </c>
      <c r="C62" s="7" t="n">
        <v>53.99</v>
      </c>
      <c r="D62" s="7" t="n">
        <v>132.9</v>
      </c>
      <c r="E62" s="7" t="n">
        <v>152.6</v>
      </c>
      <c r="F62" s="7" t="n">
        <v>188.4</v>
      </c>
    </row>
    <row r="63">
      <c r="B63" s="21" t="n">
        <v>0.6</v>
      </c>
      <c r="C63" s="15">
        <f>IF(C$18="","",1-(($C$13*(1-$C$14)+$C$15+$C$18+C$62+$C$22)+$C$31/$C$5)/($C$6*$B63)-$C$27-$C$28-$C$29)</f>
        <v/>
      </c>
      <c r="D63" s="15">
        <f>IF(C$18="","",1-(($C$13*(1-$C$14)+$C$15+$C$18+D$62+$C$22)+$C$31/$C$5)/($C$6*$B63)-$C$27-$C$28-$C$29)</f>
        <v/>
      </c>
      <c r="E63" s="15">
        <f>IF(C$18="","",1-(($C$13*(1-$C$14)+$C$15+$C$18+E$62+$C$22)+$C$31/$C$5)/($C$6*$B63)-$C$27-$C$28-$C$29)</f>
        <v/>
      </c>
      <c r="F63" s="15">
        <f>IF(C$18="","",1-(($C$13*(1-$C$14)+$C$15+$C$18+F$62+$C$22)+$C$31/$C$5)/($C$6*$B63)-$C$27-$C$28-$C$29)</f>
        <v/>
      </c>
    </row>
    <row r="64">
      <c r="B64" s="21" t="n">
        <v>0.65</v>
      </c>
      <c r="C64" s="15">
        <f>IF(C$18="","",1-(($C$13*(1-$C$14)+$C$15+$C$18+C$62+$C$22)+$C$31/$C$5)/($C$6*$B64)-$C$27-$C$28-$C$29)</f>
        <v/>
      </c>
      <c r="D64" s="15">
        <f>IF(C$18="","",1-(($C$13*(1-$C$14)+$C$15+$C$18+D$62+$C$22)+$C$31/$C$5)/($C$6*$B64)-$C$27-$C$28-$C$29)</f>
        <v/>
      </c>
      <c r="E64" s="15">
        <f>IF(C$18="","",1-(($C$13*(1-$C$14)+$C$15+$C$18+E$62+$C$22)+$C$31/$C$5)/($C$6*$B64)-$C$27-$C$28-$C$29)</f>
        <v/>
      </c>
      <c r="F64" s="15">
        <f>IF(C$18="","",1-(($C$13*(1-$C$14)+$C$15+$C$18+F$62+$C$22)+$C$31/$C$5)/($C$6*$B64)-$C$27-$C$28-$C$29)</f>
        <v/>
      </c>
    </row>
    <row r="65">
      <c r="B65" s="21" t="n">
        <v>0.7</v>
      </c>
      <c r="C65" s="15">
        <f>IF(C$18="","",1-(($C$13*(1-$C$14)+$C$15+$C$18+C$62+$C$22)+$C$31/$C$5)/($C$6*$B65)-$C$27-$C$28-$C$29)</f>
        <v/>
      </c>
      <c r="D65" s="15">
        <f>IF(C$18="","",1-(($C$13*(1-$C$14)+$C$15+$C$18+D$62+$C$22)+$C$31/$C$5)/($C$6*$B65)-$C$27-$C$28-$C$29)</f>
        <v/>
      </c>
      <c r="E65" s="15">
        <f>IF(C$18="","",1-(($C$13*(1-$C$14)+$C$15+$C$18+E$62+$C$22)+$C$31/$C$5)/($C$6*$B65)-$C$27-$C$28-$C$29)</f>
        <v/>
      </c>
      <c r="F65" s="15">
        <f>IF(C$18="","",1-(($C$13*(1-$C$14)+$C$15+$C$18+F$62+$C$22)+$C$31/$C$5)/($C$6*$B65)-$C$27-$C$28-$C$29)</f>
        <v/>
      </c>
    </row>
    <row r="66">
      <c r="B66" s="21" t="n">
        <v>0.75</v>
      </c>
      <c r="C66" s="15">
        <f>IF(C$18="","",1-(($C$13*(1-$C$14)+$C$15+$C$18+C$62+$C$22)+$C$31/$C$5)/($C$6*$B66)-$C$27-$C$28-$C$29)</f>
        <v/>
      </c>
      <c r="D66" s="15">
        <f>IF(C$18="","",1-(($C$13*(1-$C$14)+$C$15+$C$18+D$62+$C$22)+$C$31/$C$5)/($C$6*$B66)-$C$27-$C$28-$C$29)</f>
        <v/>
      </c>
      <c r="E66" s="15">
        <f>IF(C$18="","",1-(($C$13*(1-$C$14)+$C$15+$C$18+E$62+$C$22)+$C$31/$C$5)/($C$6*$B66)-$C$27-$C$28-$C$29)</f>
        <v/>
      </c>
      <c r="F66" s="15">
        <f>IF(C$18="","",1-(($C$13*(1-$C$14)+$C$15+$C$18+F$62+$C$22)+$C$31/$C$5)/($C$6*$B66)-$C$27-$C$28-$C$29)</f>
        <v/>
      </c>
    </row>
    <row r="67">
      <c r="B67" s="21" t="n">
        <v>0.8</v>
      </c>
      <c r="C67" s="15">
        <f>IF(C$18="","",1-(($C$13*(1-$C$14)+$C$15+$C$18+C$62+$C$22)+$C$31/$C$5)/($C$6*$B67)-$C$27-$C$28-$C$29)</f>
        <v/>
      </c>
      <c r="D67" s="15">
        <f>IF(C$18="","",1-(($C$13*(1-$C$14)+$C$15+$C$18+D$62+$C$22)+$C$31/$C$5)/($C$6*$B67)-$C$27-$C$28-$C$29)</f>
        <v/>
      </c>
      <c r="E67" s="15">
        <f>IF(C$18="","",1-(($C$13*(1-$C$14)+$C$15+$C$18+E$62+$C$22)+$C$31/$C$5)/($C$6*$B67)-$C$27-$C$28-$C$29)</f>
        <v/>
      </c>
      <c r="F67" s="15">
        <f>IF(C$18="","",1-(($C$13*(1-$C$14)+$C$15+$C$18+F$62+$C$22)+$C$31/$C$5)/($C$6*$B67)-$C$27-$C$28-$C$29)</f>
        <v/>
      </c>
    </row>
    <row r="68">
      <c r="B68" s="21" t="n">
        <v>0.85</v>
      </c>
      <c r="C68" s="15">
        <f>IF(C$18="","",1-(($C$13*(1-$C$14)+$C$15+$C$18+C$62+$C$22)+$C$31/$C$5)/($C$6*$B68)-$C$27-$C$28-$C$29)</f>
        <v/>
      </c>
      <c r="D68" s="15">
        <f>IF(C$18="","",1-(($C$13*(1-$C$14)+$C$15+$C$18+D$62+$C$22)+$C$31/$C$5)/($C$6*$B68)-$C$27-$C$28-$C$29)</f>
        <v/>
      </c>
      <c r="E68" s="15">
        <f>IF(C$18="","",1-(($C$13*(1-$C$14)+$C$15+$C$18+E$62+$C$22)+$C$31/$C$5)/($C$6*$B68)-$C$27-$C$28-$C$29)</f>
        <v/>
      </c>
      <c r="F68" s="15">
        <f>IF(C$18="","",1-(($C$13*(1-$C$14)+$C$15+$C$18+F$62+$C$22)+$C$31/$C$5)/($C$6*$B68)-$C$27-$C$28-$C$29)</f>
        <v/>
      </c>
    </row>
    <row r="69">
      <c r="B69" s="21" t="n">
        <v>0.9</v>
      </c>
      <c r="C69" s="15">
        <f>IF(C$18="","",1-(($C$13*(1-$C$14)+$C$15+$C$18+C$62+$C$22)+$C$31/$C$5)/($C$6*$B69)-$C$27-$C$28-$C$29)</f>
        <v/>
      </c>
      <c r="D69" s="15">
        <f>IF(C$18="","",1-(($C$13*(1-$C$14)+$C$15+$C$18+D$62+$C$22)+$C$31/$C$5)/($C$6*$B69)-$C$27-$C$28-$C$29)</f>
        <v/>
      </c>
      <c r="E69" s="15">
        <f>IF(C$18="","",1-(($C$13*(1-$C$14)+$C$15+$C$18+E$62+$C$22)+$C$31/$C$5)/($C$6*$B69)-$C$27-$C$28-$C$29)</f>
        <v/>
      </c>
      <c r="F69" s="15">
        <f>IF(C$18="","",1-(($C$13*(1-$C$14)+$C$15+$C$18+F$62+$C$22)+$C$31/$C$5)/($C$6*$B69)-$C$27-$C$28-$C$29)</f>
        <v/>
      </c>
    </row>
    <row r="70">
      <c r="B70" s="21" t="n">
        <v>0.95</v>
      </c>
      <c r="C70" s="15">
        <f>IF(C$18="","",1-(($C$13*(1-$C$14)+$C$15+$C$18+C$62+$C$22)+$C$31/$C$5)/($C$6*$B70)-$C$27-$C$28-$C$29)</f>
        <v/>
      </c>
      <c r="D70" s="15">
        <f>IF(C$18="","",1-(($C$13*(1-$C$14)+$C$15+$C$18+D$62+$C$22)+$C$31/$C$5)/($C$6*$B70)-$C$27-$C$28-$C$29)</f>
        <v/>
      </c>
      <c r="E70" s="15">
        <f>IF(C$18="","",1-(($C$13*(1-$C$14)+$C$15+$C$18+E$62+$C$22)+$C$31/$C$5)/($C$6*$B70)-$C$27-$C$28-$C$29)</f>
        <v/>
      </c>
      <c r="F70" s="15">
        <f>IF(C$18="","",1-(($C$13*(1-$C$14)+$C$15+$C$18+F$62+$C$22)+$C$31/$C$5)/($C$6*$B70)-$C$27-$C$28-$C$29)</f>
        <v/>
      </c>
    </row>
    <row r="71">
      <c r="B71" s="21" t="n">
        <v>1</v>
      </c>
      <c r="C71" s="15">
        <f>IF(C$18="","",1-(($C$13*(1-$C$14)+$C$15+$C$18+C$62+$C$22)+$C$31/$C$5)/($C$6*$B71)-$C$27-$C$28-$C$29)</f>
        <v/>
      </c>
      <c r="D71" s="15">
        <f>IF(C$18="","",1-(($C$13*(1-$C$14)+$C$15+$C$18+D$62+$C$22)+$C$31/$C$5)/($C$6*$B71)-$C$27-$C$28-$C$29)</f>
        <v/>
      </c>
      <c r="E71" s="15">
        <f>IF(C$18="","",1-(($C$13*(1-$C$14)+$C$15+$C$18+E$62+$C$22)+$C$31/$C$5)/($C$6*$B71)-$C$27-$C$28-$C$29)</f>
        <v/>
      </c>
      <c r="F71" s="15">
        <f>IF(C$18="","",1-(($C$13*(1-$C$14)+$C$15+$C$18+F$62+$C$22)+$C$31/$C$5)/($C$6*$B71)-$C$27-$C$28-$C$29)</f>
        <v/>
      </c>
    </row>
    <row r="73">
      <c r="B73" s="22" t="inlineStr">
        <is>
          <t>Read it: find your bid level, read across to the freight you will really pay. Anything under the target in C33 is not a deal.</t>
        </is>
      </c>
    </row>
    <row r="75">
      <c r="B75" s="3" t="inlineStr">
        <is>
          <t>LEGEND AND SOURCES</t>
        </is>
      </c>
      <c r="C75" s="3" t="n"/>
      <c r="D75" s="3" t="n"/>
    </row>
    <row r="76" ht="26" customHeight="1">
      <c r="B76" s="23" t="inlineStr">
        <is>
          <t>Blue on yellow = you type. Green = pulled from another sheet. Black = formula. Do not type over black cells.</t>
        </is>
      </c>
    </row>
    <row r="77" ht="26" customHeight="1">
      <c r="B77" s="23" t="inlineStr">
        <is>
          <t>Goods: data/cost_table.csv, observed SP wholesale catalogue prices on 2026-09-19, supplier CNPJ/UF on every row. 16 of 17 lines priced.</t>
        </is>
      </c>
    </row>
    <row r="78" ht="26" customHeight="1">
      <c r="B78" s="23" t="inlineStr">
        <is>
          <t>Freight: Correios PAC balcao public calculator and the STC published table, measured 2026-09-19 to CAPITAL CEPs only. Interior CEPs may differ.</t>
        </is>
      </c>
    </row>
    <row r="79" ht="26" customHeight="1">
      <c r="B79" s="23" t="inlineStr">
        <is>
          <t>Assembly: no co-packer publishes a per-kit price (data/copacking.md). Self-pack ceiling from config/capital.yaml.</t>
        </is>
      </c>
    </row>
    <row r="80" ht="26" customHeight="1">
      <c r="B80" s="23" t="inlineStr">
        <is>
          <t>Taxes: Simples Anexo I effective rates (LC 123); IRRF 1,2% per IN RFB 1.234 unless the Anexo IV declaration is filed (docs/LEGAL_FINDINGS.md).</t>
        </is>
      </c>
    </row>
    <row r="81" ht="26" customHeight="1">
      <c r="B81" s="23" t="inlineStr">
        <is>
          <t>Platform fees: Regulamento BLL 2026 art. 17 (1,5%, cap R$600 above R$40k lots); BNC 2026 art. 24 (R$118,80/process); PCP adhesion page (R$129/process).</t>
        </is>
      </c>
    </row>
    <row r="82" ht="26" customHeight="1">
      <c r="B82" s="23" t="inlineStr">
        <is>
          <t>Days to cash: docs/ORDER_TO_CASH.md, seven real editais. This model ignores late fines, sample costs and the SRP obligation to serve every call-off.</t>
        </is>
      </c>
    </row>
  </sheetData>
  <mergeCells count="7">
    <mergeCell ref="B80:D80"/>
    <mergeCell ref="B76:D76"/>
    <mergeCell ref="B79:D79"/>
    <mergeCell ref="B82:D82"/>
    <mergeCell ref="B78:D78"/>
    <mergeCell ref="B77:D77"/>
    <mergeCell ref="B81:D81"/>
  </mergeCells>
  <dataValidations count="1">
    <dataValidation sqref="C9" showDropDown="0" showInputMessage="0" showErrorMessage="0" allowBlank="0" type="list">
      <formula1>"LTL,PARCEL"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1" customWidth="1" min="3" max="3"/>
    <col width="14" customWidth="1" min="4" max="4"/>
    <col width="14" customWidth="1" min="5" max="5"/>
    <col width="11" customWidth="1" min="6" max="6"/>
    <col width="11" customWidth="1" min="7" max="7"/>
    <col width="60" customWidth="1" min="8" max="8"/>
  </cols>
  <sheetData>
    <row r="1">
      <c r="A1" s="1" t="inlineStr">
        <is>
          <t>Goods cost per kit -- from data/cost_table.csv (observed SP wholesale, 2026-09-19)</t>
        </is>
      </c>
    </row>
    <row r="2">
      <c r="A2" s="2" t="inlineStr">
        <is>
          <t>Blue cells are editable: change a unit cost or a quantity per kit and the DEAL sheet follows.</t>
        </is>
      </c>
    </row>
    <row r="4">
      <c r="A4" s="24" t="inlineStr">
        <is>
          <t>BOM line</t>
        </is>
      </c>
      <c r="B4" s="24" t="inlineStr">
        <is>
          <t>SKU</t>
        </is>
      </c>
      <c r="C4" s="24" t="inlineStr">
        <is>
          <t>Qty per kit</t>
        </is>
      </c>
      <c r="D4" s="24" t="inlineStr">
        <is>
          <t>Unit cost (R$)</t>
        </is>
      </c>
      <c r="E4" s="24" t="inlineStr">
        <is>
          <t>Line cost (R$)</t>
        </is>
      </c>
      <c r="F4" s="24" t="inlineStr">
        <is>
          <t>Basis</t>
        </is>
      </c>
      <c r="G4" s="24" t="inlineStr">
        <is>
          <t>Supplier UF</t>
        </is>
      </c>
      <c r="H4" s="24" t="inlineStr">
        <is>
          <t>Notes</t>
        </is>
      </c>
    </row>
    <row r="5">
      <c r="A5" s="25" t="inlineStr">
        <is>
          <t>mochila</t>
        </is>
      </c>
      <c r="B5" s="25" t="inlineStr">
        <is>
          <t>MOCHILA</t>
        </is>
      </c>
      <c r="C5" s="5" t="n">
        <v>1</v>
      </c>
      <c r="D5" s="7" t="n">
        <v>52.27</v>
      </c>
      <c r="E5" s="12">
        <f>IF(D5="","",C5*D5)</f>
        <v/>
      </c>
      <c r="F5" s="25" t="inlineStr">
        <is>
          <t>unit</t>
        </is>
      </c>
      <c r="G5" s="25" t="inlineStr">
        <is>
          <t>SP</t>
        </is>
      </c>
      <c r="H5" s="25" t="inlineStr"/>
    </row>
    <row r="6">
      <c r="A6" s="25" t="inlineStr">
        <is>
          <t>banheira_lisa</t>
        </is>
      </c>
      <c r="B6" s="25" t="inlineStr">
        <is>
          <t>BANHEIRA</t>
        </is>
      </c>
      <c r="C6" s="5" t="n">
        <v>1</v>
      </c>
      <c r="D6" s="7" t="n">
        <v>18.9</v>
      </c>
      <c r="E6" s="12">
        <f>IF(D6="","",C6*D6)</f>
        <v/>
      </c>
      <c r="F6" s="25" t="inlineStr">
        <is>
          <t>unit</t>
        </is>
      </c>
      <c r="G6" s="25" t="inlineStr">
        <is>
          <t>SP</t>
        </is>
      </c>
      <c r="H6" s="25" t="inlineStr"/>
    </row>
    <row r="7">
      <c r="A7" s="25" t="inlineStr">
        <is>
          <t>cobertor_infantil</t>
        </is>
      </c>
      <c r="B7" s="25" t="inlineStr">
        <is>
          <t>COBERTOR</t>
        </is>
      </c>
      <c r="C7" s="5" t="n">
        <v>1</v>
      </c>
      <c r="D7" s="7" t="n">
        <v>12.15</v>
      </c>
      <c r="E7" s="12">
        <f>IF(D7="","",C7*D7)</f>
        <v/>
      </c>
      <c r="F7" s="25" t="inlineStr">
        <is>
          <t>unit</t>
        </is>
      </c>
      <c r="G7" s="25" t="inlineStr">
        <is>
          <t>SP</t>
        </is>
      </c>
      <c r="H7" s="25" t="inlineStr"/>
    </row>
    <row r="8">
      <c r="A8" s="25" t="inlineStr">
        <is>
          <t>cueiro</t>
        </is>
      </c>
      <c r="B8" s="25" t="inlineStr">
        <is>
          <t>CUEIRO</t>
        </is>
      </c>
      <c r="C8" s="5" t="n">
        <v>1</v>
      </c>
      <c r="D8" s="7" t="n">
        <v>3.94</v>
      </c>
      <c r="E8" s="12">
        <f>IF(D8="","",C8*D8)</f>
        <v/>
      </c>
      <c r="F8" s="25" t="inlineStr">
        <is>
          <t>per_piece</t>
        </is>
      </c>
      <c r="G8" s="25" t="inlineStr">
        <is>
          <t>SP</t>
        </is>
      </c>
      <c r="H8" s="25" t="inlineStr"/>
    </row>
    <row r="9">
      <c r="A9" s="25" t="inlineStr">
        <is>
          <t>pagao</t>
        </is>
      </c>
      <c r="B9" s="25" t="inlineStr">
        <is>
          <t>PAGAO</t>
        </is>
      </c>
      <c r="C9" s="5" t="n">
        <v>1</v>
      </c>
      <c r="D9" s="7" t="n">
        <v>15.34</v>
      </c>
      <c r="E9" s="12">
        <f>IF(D9="","",C9*D9)</f>
        <v/>
      </c>
      <c r="F9" s="25" t="inlineStr">
        <is>
          <t>unit_set</t>
        </is>
      </c>
      <c r="G9" s="25" t="inlineStr">
        <is>
          <t>SP</t>
        </is>
      </c>
      <c r="H9" s="25" t="inlineStr"/>
    </row>
    <row r="10">
      <c r="A10" s="25" t="inlineStr">
        <is>
          <t>fralda_descartavel_rn</t>
        </is>
      </c>
      <c r="B10" s="25" t="inlineStr">
        <is>
          <t>55832-PC</t>
        </is>
      </c>
      <c r="C10" s="5" t="n">
        <v>1</v>
      </c>
      <c r="D10" s="7" t="n">
        <v>23.78</v>
      </c>
      <c r="E10" s="12">
        <f>IF(D10="","",C10*D10)</f>
        <v/>
      </c>
      <c r="F10" s="25" t="inlineStr">
        <is>
          <t>per_pack</t>
        </is>
      </c>
      <c r="G10" s="25" t="inlineStr">
        <is>
          <t>SP</t>
        </is>
      </c>
      <c r="H10" s="25" t="inlineStr">
        <is>
          <t>diaper: pack of 18 at pack price</t>
        </is>
      </c>
    </row>
    <row r="11">
      <c r="A11" s="25" t="inlineStr">
        <is>
          <t>body_manga_longa</t>
        </is>
      </c>
      <c r="B11" s="25" t="inlineStr">
        <is>
          <t>BODY</t>
        </is>
      </c>
      <c r="C11" s="5" t="n">
        <v>1</v>
      </c>
      <c r="D11" s="7" t="n">
        <v>7.56</v>
      </c>
      <c r="E11" s="12">
        <f>IF(D11="","",C11*D11)</f>
        <v/>
      </c>
      <c r="F11" s="25" t="inlineStr">
        <is>
          <t>per_piece</t>
        </is>
      </c>
      <c r="G11" s="25" t="inlineStr">
        <is>
          <t>SP</t>
        </is>
      </c>
      <c r="H11" s="25" t="inlineStr"/>
    </row>
    <row r="12">
      <c r="A12" s="25" t="inlineStr">
        <is>
          <t>kit_enxoval</t>
        </is>
      </c>
      <c r="B12" s="25" t="inlineStr">
        <is>
          <t>KIT_ENXOVAL</t>
        </is>
      </c>
      <c r="C12" s="5" t="n">
        <v>1</v>
      </c>
      <c r="D12" s="7" t="n"/>
      <c r="E12" s="12">
        <f>IF(D12="","",C12*D12)</f>
        <v/>
      </c>
      <c r="F12" s="25" t="inlineStr">
        <is>
          <t>unit</t>
        </is>
      </c>
      <c r="G12" s="25" t="inlineStr"/>
      <c r="H12" s="25" t="inlineStr">
        <is>
          <t>UNPRICED -- the kit bag; needs the real edital spec (PNCP Family B). Type an estimate here or in DEAL!C15.</t>
        </is>
      </c>
    </row>
    <row r="13">
      <c r="A13" s="25" t="inlineStr">
        <is>
          <t>pano_de_boca</t>
        </is>
      </c>
      <c r="B13" s="25" t="inlineStr">
        <is>
          <t>PANO_BOCA</t>
        </is>
      </c>
      <c r="C13" s="5" t="n">
        <v>1</v>
      </c>
      <c r="D13" s="7" t="n">
        <v>1.85</v>
      </c>
      <c r="E13" s="12">
        <f>IF(D13="","",C13*D13)</f>
        <v/>
      </c>
      <c r="F13" s="25" t="inlineStr">
        <is>
          <t>per_piece</t>
        </is>
      </c>
      <c r="G13" s="25" t="inlineStr">
        <is>
          <t>SP</t>
        </is>
      </c>
      <c r="H13" s="25" t="inlineStr"/>
    </row>
    <row r="14">
      <c r="A14" s="25" t="inlineStr">
        <is>
          <t>par_de_meias</t>
        </is>
      </c>
      <c r="B14" s="25" t="inlineStr">
        <is>
          <t>MEIAS</t>
        </is>
      </c>
      <c r="C14" s="5" t="n">
        <v>1</v>
      </c>
      <c r="D14" s="7" t="n">
        <v>2.01</v>
      </c>
      <c r="E14" s="12">
        <f>IF(D14="","",C14*D14)</f>
        <v/>
      </c>
      <c r="F14" s="25" t="inlineStr">
        <is>
          <t>per_pair</t>
        </is>
      </c>
      <c r="G14" s="25" t="inlineStr">
        <is>
          <t>SP</t>
        </is>
      </c>
      <c r="H14" s="25" t="inlineStr"/>
    </row>
    <row r="15">
      <c r="A15" s="25" t="inlineStr">
        <is>
          <t>toalha_banho_infantil</t>
        </is>
      </c>
      <c r="B15" s="25" t="inlineStr">
        <is>
          <t>TOALHA_BANHO</t>
        </is>
      </c>
      <c r="C15" s="5" t="n">
        <v>1</v>
      </c>
      <c r="D15" s="7" t="n">
        <v>3.42</v>
      </c>
      <c r="E15" s="12">
        <f>IF(D15="","",C15*D15)</f>
        <v/>
      </c>
      <c r="F15" s="25" t="inlineStr">
        <is>
          <t>per_piece</t>
        </is>
      </c>
      <c r="G15" s="25" t="inlineStr">
        <is>
          <t>SP</t>
        </is>
      </c>
      <c r="H15" s="25" t="inlineStr"/>
    </row>
    <row r="16">
      <c r="A16" s="25" t="inlineStr">
        <is>
          <t>toalhas_umedecidas</t>
        </is>
      </c>
      <c r="B16" s="25" t="inlineStr">
        <is>
          <t>50102-UN</t>
        </is>
      </c>
      <c r="C16" s="5" t="n">
        <v>1</v>
      </c>
      <c r="D16" s="7" t="n">
        <v>6.02</v>
      </c>
      <c r="E16" s="12">
        <f>IF(D16="","",C16*D16)</f>
        <v/>
      </c>
      <c r="F16" s="25" t="inlineStr">
        <is>
          <t>per_pack</t>
        </is>
      </c>
      <c r="G16" s="25" t="inlineStr">
        <is>
          <t>SP</t>
        </is>
      </c>
      <c r="H16" s="25" t="inlineStr"/>
    </row>
    <row r="17">
      <c r="A17" s="25" t="inlineStr">
        <is>
          <t>sabonete_liquido</t>
        </is>
      </c>
      <c r="B17" s="25" t="inlineStr">
        <is>
          <t>000000000000941594-UN</t>
        </is>
      </c>
      <c r="C17" s="5" t="n">
        <v>1</v>
      </c>
      <c r="D17" s="7" t="n">
        <v>8.99</v>
      </c>
      <c r="E17" s="12">
        <f>IF(D17="","",C17*D17)</f>
        <v/>
      </c>
      <c r="F17" s="25" t="inlineStr">
        <is>
          <t>unit</t>
        </is>
      </c>
      <c r="G17" s="25" t="inlineStr">
        <is>
          <t>SP</t>
        </is>
      </c>
      <c r="H17" s="25" t="inlineStr"/>
    </row>
    <row r="18">
      <c r="A18" s="25" t="inlineStr">
        <is>
          <t>shampoo_infantil</t>
        </is>
      </c>
      <c r="B18" s="25" t="inlineStr">
        <is>
          <t>26669-UN</t>
        </is>
      </c>
      <c r="C18" s="5" t="n">
        <v>1</v>
      </c>
      <c r="D18" s="7" t="n">
        <v>10.45</v>
      </c>
      <c r="E18" s="12">
        <f>IF(D18="","",C18*D18)</f>
        <v/>
      </c>
      <c r="F18" s="25" t="inlineStr">
        <is>
          <t>unit</t>
        </is>
      </c>
      <c r="G18" s="25" t="inlineStr">
        <is>
          <t>SP</t>
        </is>
      </c>
      <c r="H18" s="25" t="inlineStr"/>
    </row>
    <row r="19">
      <c r="A19" s="25" t="inlineStr">
        <is>
          <t>oleo_infantil</t>
        </is>
      </c>
      <c r="B19" s="25" t="inlineStr">
        <is>
          <t>51050-UN</t>
        </is>
      </c>
      <c r="C19" s="5" t="n">
        <v>1</v>
      </c>
      <c r="D19" s="7" t="n">
        <v>23.89</v>
      </c>
      <c r="E19" s="12">
        <f>IF(D19="","",C19*D19)</f>
        <v/>
      </c>
      <c r="F19" s="25" t="inlineStr">
        <is>
          <t>unit</t>
        </is>
      </c>
      <c r="G19" s="25" t="inlineStr">
        <is>
          <t>SP</t>
        </is>
      </c>
      <c r="H19" s="25" t="inlineStr"/>
    </row>
    <row r="20">
      <c r="A20" s="25" t="inlineStr">
        <is>
          <t>kit_higiene_bebe</t>
        </is>
      </c>
      <c r="B20" s="25" t="inlineStr">
        <is>
          <t>KIT_HIGIENE</t>
        </is>
      </c>
      <c r="C20" s="5" t="n">
        <v>1</v>
      </c>
      <c r="D20" s="7" t="n">
        <v>5.2</v>
      </c>
      <c r="E20" s="12">
        <f>IF(D20="","",C20*D20)</f>
        <v/>
      </c>
      <c r="F20" s="25" t="inlineStr">
        <is>
          <t>unit_kit</t>
        </is>
      </c>
      <c r="G20" s="25" t="inlineStr">
        <is>
          <t>SP</t>
        </is>
      </c>
      <c r="H20" s="25" t="inlineStr"/>
    </row>
    <row r="21">
      <c r="A21" s="25" t="inlineStr">
        <is>
          <t>saboneteira</t>
        </is>
      </c>
      <c r="B21" s="25" t="inlineStr">
        <is>
          <t>SABONETEIRA</t>
        </is>
      </c>
      <c r="C21" s="5" t="n">
        <v>1</v>
      </c>
      <c r="D21" s="7" t="n">
        <v>3.01</v>
      </c>
      <c r="E21" s="12">
        <f>IF(D21="","",C21*D21)</f>
        <v/>
      </c>
      <c r="F21" s="25" t="inlineStr">
        <is>
          <t>unit</t>
        </is>
      </c>
      <c r="G21" s="25" t="inlineStr">
        <is>
          <t>SP</t>
        </is>
      </c>
      <c r="H21" s="25" t="inlineStr"/>
    </row>
    <row r="22">
      <c r="D22" s="13" t="inlineStr">
        <is>
          <t>TOTAL priced lines</t>
        </is>
      </c>
      <c r="E22" s="14">
        <f>SUM(E5:E21)</f>
        <v/>
      </c>
    </row>
    <row r="23">
      <c r="D23" s="13" t="inlineStr">
        <is>
          <t>Unpriced lines</t>
        </is>
      </c>
      <c r="E23" s="26">
        <f>SUMPRODUCT(--(D5:D21=""))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8" customWidth="1" min="3" max="3"/>
    <col width="22" customWidth="1" min="4" max="4"/>
    <col width="70" customWidth="1" min="5" max="5"/>
  </cols>
  <sheetData>
    <row r="1">
      <c r="A1" s="1" t="inlineStr">
        <is>
          <t>Freight per kit -- MEASURED 2026-09-19 (data/freight.md, data/cost_freight.csv)</t>
        </is>
      </c>
    </row>
    <row r="2" ht="48" customHeight="1">
      <c r="A2" s="27" t="inlineStr">
        <is>
          <t>Parcel = Correios PAC balcao, one 60x40x40 cm box per kit, SP 03005-000 to the CAPITAL CEP. LTL = consolidated road freight to ONE consignee; only SP-&gt;CE has a published table (STC). Blank = never measured: the DEAL sheet will say so rather than use zero. Blue cells editable.</t>
        </is>
      </c>
    </row>
    <row r="4">
      <c r="A4" s="24" t="inlineStr">
        <is>
          <t>UF</t>
        </is>
      </c>
      <c r="B4" s="24" t="inlineStr">
        <is>
          <t>Parcel per kit (R$)</t>
        </is>
      </c>
      <c r="C4" s="24" t="inlineStr">
        <is>
          <t>LTL per kit (R$)</t>
        </is>
      </c>
      <c r="D4" s="24" t="inlineStr">
        <is>
          <t>Transit days (PAC, business)</t>
        </is>
      </c>
      <c r="E4" s="24" t="inlineStr">
        <is>
          <t>Source</t>
        </is>
      </c>
    </row>
    <row r="5">
      <c r="A5" s="28" t="inlineStr">
        <is>
          <t>MG</t>
        </is>
      </c>
      <c r="B5" s="7" t="n">
        <v>116.6</v>
      </c>
      <c r="C5" s="7" t="n"/>
      <c r="D5" s="5" t="n">
        <v>5</v>
      </c>
      <c r="E5" s="25" t="inlineStr">
        <is>
          <t>Correios public calculator, measured</t>
        </is>
      </c>
    </row>
    <row r="6">
      <c r="A6" s="28" t="inlineStr">
        <is>
          <t>MA</t>
        </is>
      </c>
      <c r="B6" s="7" t="n">
        <v>188.4</v>
      </c>
      <c r="C6" s="7" t="n"/>
      <c r="D6" s="5" t="n">
        <v>8</v>
      </c>
      <c r="E6" s="25" t="inlineStr">
        <is>
          <t>Correios public calculator, measured</t>
        </is>
      </c>
    </row>
    <row r="7">
      <c r="A7" s="28" t="inlineStr">
        <is>
          <t>BA</t>
        </is>
      </c>
      <c r="B7" s="7" t="n">
        <v>132.9</v>
      </c>
      <c r="C7" s="7" t="n"/>
      <c r="D7" s="5" t="n">
        <v>6</v>
      </c>
      <c r="E7" s="25" t="inlineStr">
        <is>
          <t>Correios public calculator, measured</t>
        </is>
      </c>
    </row>
    <row r="8">
      <c r="A8" s="28" t="inlineStr">
        <is>
          <t>CE</t>
        </is>
      </c>
      <c r="B8" s="7" t="n">
        <v>152.6</v>
      </c>
      <c r="C8" s="7" t="n">
        <v>53.99</v>
      </c>
      <c r="D8" s="5" t="n">
        <v>7</v>
      </c>
      <c r="E8" s="25" t="inlineStr">
        <is>
          <t>Correios public calculator, measured; LTL: STC Transportes published table SP-&gt;Fortaleza, 100 kits (R$52,57 at 5.000)</t>
        </is>
      </c>
    </row>
    <row r="9">
      <c r="A9" s="28" t="inlineStr">
        <is>
          <t>PE</t>
        </is>
      </c>
      <c r="B9" s="7" t="n">
        <v>152.6</v>
      </c>
      <c r="C9" s="7" t="n"/>
      <c r="D9" s="5" t="n">
        <v>6</v>
      </c>
      <c r="E9" s="25" t="inlineStr">
        <is>
          <t>Correios public calculator, measured</t>
        </is>
      </c>
    </row>
    <row r="10">
      <c r="A10" s="28" t="inlineStr">
        <is>
          <t>SE</t>
        </is>
      </c>
      <c r="B10" s="7" t="n">
        <v>188.4</v>
      </c>
      <c r="C10" s="7" t="n"/>
      <c r="D10" s="5" t="n">
        <v>8</v>
      </c>
      <c r="E10" s="25" t="inlineStr">
        <is>
          <t>Correios public calculator, measured</t>
        </is>
      </c>
    </row>
    <row r="11">
      <c r="A11" s="28" t="inlineStr">
        <is>
          <t>PA</t>
        </is>
      </c>
      <c r="B11" s="7" t="n">
        <v>152.6</v>
      </c>
      <c r="C11" s="7" t="n"/>
      <c r="D11" s="5" t="n">
        <v>8</v>
      </c>
      <c r="E11" s="25" t="inlineStr">
        <is>
          <t>Correios public calculator, measured</t>
        </is>
      </c>
    </row>
    <row r="12">
      <c r="A12" s="28" t="inlineStr">
        <is>
          <t>RN</t>
        </is>
      </c>
      <c r="B12" s="7" t="n">
        <v>188.4</v>
      </c>
      <c r="C12" s="7" t="n"/>
      <c r="D12" s="5" t="n">
        <v>7</v>
      </c>
      <c r="E12" s="25" t="inlineStr">
        <is>
          <t>Correios public calculator, measured</t>
        </is>
      </c>
    </row>
    <row r="13">
      <c r="A13" s="28" t="inlineStr">
        <is>
          <t>PB</t>
        </is>
      </c>
      <c r="B13" s="7" t="n"/>
      <c r="C13" s="7" t="n"/>
      <c r="D13" s="5" t="n"/>
      <c r="E13" s="25" t="inlineStr">
        <is>
          <t>NOT MEASURED</t>
        </is>
      </c>
    </row>
    <row r="14">
      <c r="A14" s="28" t="inlineStr">
        <is>
          <t>AL</t>
        </is>
      </c>
      <c r="B14" s="7" t="n"/>
      <c r="C14" s="7" t="n"/>
      <c r="D14" s="5" t="n"/>
      <c r="E14" s="25" t="inlineStr">
        <is>
          <t>NOT MEASURED</t>
        </is>
      </c>
    </row>
    <row r="15">
      <c r="A15" s="28" t="inlineStr">
        <is>
          <t>PI</t>
        </is>
      </c>
      <c r="B15" s="7" t="n"/>
      <c r="C15" s="7" t="n"/>
      <c r="D15" s="5" t="n"/>
      <c r="E15" s="25" t="inlineStr">
        <is>
          <t>NOT MEASURED</t>
        </is>
      </c>
    </row>
    <row r="16">
      <c r="A16" s="28" t="inlineStr">
        <is>
          <t>GO</t>
        </is>
      </c>
      <c r="B16" s="7" t="n"/>
      <c r="C16" s="7" t="n"/>
      <c r="D16" s="5" t="n"/>
      <c r="E16" s="25" t="inlineStr">
        <is>
          <t>NOT MEASURED</t>
        </is>
      </c>
    </row>
    <row r="17">
      <c r="A17" s="28" t="inlineStr">
        <is>
          <t>TO</t>
        </is>
      </c>
      <c r="B17" s="7" t="n"/>
      <c r="C17" s="7" t="n"/>
      <c r="D17" s="5" t="n"/>
      <c r="E17" s="25" t="inlineStr">
        <is>
          <t>NOT MEASURED</t>
        </is>
      </c>
    </row>
    <row r="18">
      <c r="A18" s="28" t="inlineStr">
        <is>
          <t>RJ</t>
        </is>
      </c>
      <c r="B18" s="7" t="n"/>
      <c r="C18" s="7" t="n"/>
      <c r="D18" s="5" t="n"/>
      <c r="E18" s="25" t="inlineStr">
        <is>
          <t>NOT MEASURED</t>
        </is>
      </c>
    </row>
    <row r="19">
      <c r="A19" s="28" t="inlineStr">
        <is>
          <t>PR</t>
        </is>
      </c>
      <c r="B19" s="7" t="n"/>
      <c r="C19" s="7" t="n"/>
      <c r="D19" s="5" t="n"/>
      <c r="E19" s="25" t="inlineStr">
        <is>
          <t>NOT MEASURED</t>
        </is>
      </c>
    </row>
    <row r="20">
      <c r="A20" s="28" t="inlineStr">
        <is>
          <t>SC</t>
        </is>
      </c>
      <c r="B20" s="7" t="n"/>
      <c r="C20" s="7" t="n"/>
      <c r="D20" s="5" t="n"/>
      <c r="E20" s="25" t="inlineStr">
        <is>
          <t>NOT MEASURED</t>
        </is>
      </c>
    </row>
    <row r="21">
      <c r="A21" s="28" t="inlineStr">
        <is>
          <t>RS</t>
        </is>
      </c>
      <c r="B21" s="7" t="n"/>
      <c r="C21" s="7" t="n"/>
      <c r="D21" s="5" t="n"/>
      <c r="E21" s="25" t="inlineStr">
        <is>
          <t>NOT MEASURED</t>
        </is>
      </c>
    </row>
    <row r="22">
      <c r="A22" s="28" t="inlineStr">
        <is>
          <t>AM</t>
        </is>
      </c>
      <c r="B22" s="7" t="n"/>
      <c r="C22" s="7" t="n"/>
      <c r="D22" s="5" t="n"/>
      <c r="E22" s="25" t="inlineStr">
        <is>
          <t>NOT MEASURED</t>
        </is>
      </c>
    </row>
    <row r="23">
      <c r="A23" s="28" t="inlineStr">
        <is>
          <t>SP</t>
        </is>
      </c>
      <c r="B23" s="7" t="n"/>
      <c r="C23" s="7" t="n"/>
      <c r="D23" s="5" t="n"/>
      <c r="E23" s="25" t="inlineStr">
        <is>
          <t>NOT MEASURED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2026-09-19T21:46:05Z</dcterms:created>
  <dcterms:modified xsi:type="dcterms:W3CDTF">2026-09-19T21:46:05Z</dcterms:modified>
</cp:coreProperties>
</file>