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LEIA PRIMEIRO" sheetId="1" state="visible" r:id="rId1"/>
    <sheet name="2 TOP PICKS" sheetId="2" state="visible" r:id="rId2"/>
    <sheet name="3 ALL LISTINGS" sheetId="3" state="visible" r:id="rId3"/>
    <sheet name="4 SAFETY DATA" sheetId="4" state="visible" r:id="rId4"/>
    <sheet name="5 MIDNIGHT PROBLEM" sheetId="5" state="visible" r:id="rId5"/>
    <sheet name="6 MONEY" sheetId="6" state="visible" r:id="rId6"/>
    <sheet name="7 YOUR RIGHTS" sheetId="7" state="visible" r:id="rId7"/>
    <sheet name="8 TRAPS" sheetId="8" state="visible" r:id="rId8"/>
    <sheet name="9 VIEWING LOG" sheetId="9" state="visible" r:id="rId9"/>
    <sheet name="10 SOURCES" sheetId="10" state="visible" r:id="rId10"/>
  </sheets>
  <definedNames>
    <definedName name="_xlnm._FilterDatabase" localSheetId="1" hidden="1">'2 TOP PICKS'!$A$6:$P$24</definedName>
    <definedName name="_xlnm._FilterDatabase" localSheetId="2" hidden="1">'3 ALL LISTINGS'!$A$10:$R$95</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Arial"/>
      <b val="1"/>
      <color rgb="001F3864"/>
      <sz val="15"/>
    </font>
    <font>
      <name val="Arial"/>
      <i val="1"/>
      <color rgb="00595959"/>
      <sz val="9"/>
    </font>
    <font>
      <name val="Arial"/>
      <b val="1"/>
      <sz val="10"/>
    </font>
    <font>
      <name val="Arial"/>
      <b val="1"/>
      <color rgb="00C00000"/>
      <sz val="11"/>
    </font>
    <font>
      <name val="Arial"/>
      <sz val="10"/>
    </font>
    <font>
      <name val="Arial"/>
      <color rgb="000000FF"/>
      <sz val="10"/>
    </font>
    <font>
      <name val="Arial"/>
      <b val="1"/>
      <color rgb="00FFFFFF"/>
      <sz val="10"/>
    </font>
    <font>
      <name val="Arial"/>
      <b val="1"/>
      <color rgb="00C00000"/>
      <sz val="10"/>
    </font>
    <font>
      <name val="Arial"/>
      <b val="1"/>
      <color rgb="00C00000"/>
      <sz val="12"/>
    </font>
  </fonts>
  <fills count="9">
    <fill>
      <patternFill/>
    </fill>
    <fill>
      <patternFill patternType="gray125"/>
    </fill>
    <fill>
      <patternFill patternType="solid">
        <fgColor rgb="00FFFF00"/>
      </patternFill>
    </fill>
    <fill>
      <patternFill patternType="solid">
        <fgColor rgb="001F3864"/>
      </patternFill>
    </fill>
    <fill>
      <patternFill patternType="solid">
        <fgColor rgb="00C6EFCE"/>
      </patternFill>
    </fill>
    <fill>
      <patternFill patternType="solid">
        <fgColor rgb="00FFF2CC"/>
      </patternFill>
    </fill>
    <fill>
      <patternFill patternType="solid">
        <fgColor rgb="00FFC7CE"/>
      </patternFill>
    </fill>
    <fill>
      <patternFill patternType="solid">
        <fgColor rgb="00FFEB9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0" borderId="0" pivotButton="0" quotePrefix="0" xfId="0"/>
    <xf numFmtId="0" fontId="2" fillId="0" borderId="0" pivotButton="0" quotePrefix="0" xfId="0"/>
    <xf numFmtId="0" fontId="3" fillId="0" borderId="0" pivotButton="0" quotePrefix="0" xfId="0"/>
    <xf numFmtId="0" fontId="6" fillId="2" borderId="1" pivotButton="0" quotePrefix="0" xfId="0"/>
    <xf numFmtId="0" fontId="7" fillId="3"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5" borderId="1" applyAlignment="1" pivotButton="0" quotePrefix="0" xfId="0">
      <alignment vertical="top" wrapText="1"/>
    </xf>
    <xf numFmtId="0" fontId="3" fillId="5" borderId="1" applyAlignment="1" pivotButton="0" quotePrefix="0" xfId="0">
      <alignment vertical="top" wrapText="1"/>
    </xf>
    <xf numFmtId="164" fontId="5" fillId="5" borderId="1" applyAlignment="1" pivotButton="0" quotePrefix="0" xfId="0">
      <alignment vertical="top" wrapText="1"/>
    </xf>
    <xf numFmtId="0" fontId="5" fillId="0" borderId="1" applyAlignment="1" pivotButton="0" quotePrefix="0" xfId="0">
      <alignment horizontal="center" vertical="center" wrapText="1"/>
    </xf>
    <xf numFmtId="0" fontId="5" fillId="0" borderId="1" applyAlignment="1" pivotButton="0" quotePrefix="0" xfId="0">
      <alignment vertical="top" wrapText="1"/>
    </xf>
    <xf numFmtId="164" fontId="5" fillId="0" borderId="1" applyAlignment="1" pivotButton="0" quotePrefix="0" xfId="0">
      <alignment vertical="top" wrapText="1"/>
    </xf>
    <xf numFmtId="0" fontId="5" fillId="4" borderId="1" applyAlignment="1" pivotButton="0" quotePrefix="0" xfId="0">
      <alignment horizontal="center" vertical="center" wrapText="1"/>
    </xf>
    <xf numFmtId="0" fontId="5" fillId="0" borderId="0" pivotButton="0" quotePrefix="0" xfId="0"/>
    <xf numFmtId="165" fontId="5" fillId="0" borderId="1" applyAlignment="1" pivotButton="0" quotePrefix="0" xfId="0">
      <alignment vertical="top"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3" fontId="3" fillId="0" borderId="0" pivotButton="0" quotePrefix="0" xfId="0"/>
    <xf numFmtId="0" fontId="8" fillId="0" borderId="0" pivotButton="0" quotePrefix="0" xfId="0"/>
    <xf numFmtId="0" fontId="4" fillId="0" borderId="0" pivotButton="0" quotePrefix="0" xfId="0"/>
    <xf numFmtId="3" fontId="5" fillId="4" borderId="1" applyAlignment="1" pivotButton="0" quotePrefix="0" xfId="0">
      <alignment horizontal="center" vertical="center" wrapText="1"/>
    </xf>
    <xf numFmtId="3" fontId="5" fillId="7" borderId="1" applyAlignment="1" pivotButton="0" quotePrefix="0" xfId="0">
      <alignment horizontal="center" vertical="center" wrapText="1"/>
    </xf>
    <xf numFmtId="3" fontId="5" fillId="6" borderId="1" applyAlignment="1" pivotButton="0" quotePrefix="0" xfId="0">
      <alignment horizontal="center" vertical="center" wrapText="1"/>
    </xf>
    <xf numFmtId="0" fontId="3" fillId="2" borderId="1" applyAlignment="1" pivotButton="0" quotePrefix="0" xfId="0">
      <alignment vertical="top" wrapText="1"/>
    </xf>
    <xf numFmtId="3" fontId="3" fillId="2" borderId="1" applyAlignment="1" pivotButton="0" quotePrefix="0" xfId="0">
      <alignment horizontal="center" vertical="center" wrapText="1"/>
    </xf>
    <xf numFmtId="0" fontId="3" fillId="2" borderId="1" applyAlignment="1" pivotButton="0" quotePrefix="0" xfId="0">
      <alignment horizontal="center" vertical="center" wrapText="1"/>
    </xf>
    <xf numFmtId="3" fontId="9" fillId="2" borderId="1" pivotButton="0" quotePrefix="0" xfId="0"/>
    <xf numFmtId="166" fontId="3" fillId="0" borderId="0" pivotButton="0" quotePrefix="0" xfId="0"/>
    <xf numFmtId="0" fontId="5" fillId="6" borderId="1" applyAlignment="1" pivotButton="0" quotePrefix="0" xfId="0">
      <alignment vertical="top" wrapText="1"/>
    </xf>
    <xf numFmtId="0" fontId="5" fillId="4" borderId="1" applyAlignment="1" pivotButton="0" quotePrefix="0" xfId="0">
      <alignment vertical="top" wrapText="1"/>
    </xf>
    <xf numFmtId="0" fontId="3" fillId="7" borderId="1" applyAlignment="1" pivotButton="0" quotePrefix="0" xfId="0">
      <alignment vertical="top" wrapText="1"/>
    </xf>
    <xf numFmtId="0" fontId="6" fillId="0" borderId="1" applyAlignment="1" pivotButton="0" quotePrefix="0" xfId="0">
      <alignment vertical="top" wrapText="1"/>
    </xf>
    <xf numFmtId="3" fontId="6" fillId="0" borderId="1" applyAlignment="1" pivotButton="0" quotePrefix="0" xfId="0">
      <alignment vertical="top" wrapText="1"/>
    </xf>
    <xf numFmtId="0" fontId="6" fillId="0" borderId="1" applyAlignment="1" pivotButton="0" quotePrefix="0" xfId="0">
      <alignment horizontal="center" vertical="center" wrapText="1"/>
    </xf>
    <xf numFmtId="0" fontId="3" fillId="0" borderId="1" applyAlignment="1" pivotButton="0" quotePrefix="0" xfId="0">
      <alignment vertical="top" wrapText="1"/>
    </xf>
    <xf numFmtId="0" fontId="5" fillId="0" borderId="1" pivotButton="0" quotePrefix="0" xfId="0"/>
    <xf numFmtId="3" fontId="5" fillId="0" borderId="1" pivotButton="0" quotePrefix="0" xfId="0"/>
    <xf numFmtId="0" fontId="5" fillId="2" borderId="1" applyAlignment="1" pivotButton="0" quotePrefix="0" xfId="0">
      <alignment horizontal="center" vertical="center" wrapText="1"/>
    </xf>
    <xf numFmtId="0" fontId="3" fillId="8" borderId="1" pivotButton="0" quotePrefix="0" xfId="0"/>
  </cellXfs>
  <cellStyles count="1">
    <cellStyle name="Normal" xfId="0" builtinId="0" hidden="0"/>
  </cellStyles>
  <dxfs count="5">
    <dxf>
      <fill>
        <patternFill patternType="solid">
          <fgColor rgb="00C6EFCE"/>
        </patternFill>
      </fill>
    </dxf>
    <dxf>
      <fill>
        <patternFill patternType="solid">
          <fgColor rgb="00FFEB9C"/>
        </patternFill>
      </fill>
    </dxf>
    <dxf>
      <font>
        <name val="Arial"/>
        <b val="1"/>
        <sz val="10"/>
      </font>
      <fill>
        <patternFill patternType="solid">
          <fgColor rgb="00C6EFCE"/>
        </patternFill>
      </fill>
    </dxf>
    <dxf>
      <fill>
        <patternFill patternType="solid">
          <fgColor rgb="00F2F2F2"/>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5"/>
  <sheetViews>
    <sheetView showGridLines="0" workbookViewId="0">
      <selection activeCell="A1" sqref="A1"/>
    </sheetView>
  </sheetViews>
  <sheetFormatPr baseColWidth="8" defaultRowHeight="15"/>
  <cols>
    <col width="132" customWidth="1" min="1" max="1"/>
  </cols>
  <sheetData>
    <row r="1">
      <c r="A1" s="1" t="inlineStr">
        <is>
          <t>SAO PAULO APARTMENT HUNT - two bedrooms, a real doorman, near a metro</t>
        </is>
      </c>
    </row>
    <row r="2">
      <c r="A2" s="2" t="inlineStr">
        <is>
          <t>Compiled 20 September 2026 from 12 parallel researchers and ~500 live listings. Every apartment named in this file was pulled from a real rental portal page. None are invented.</t>
        </is>
      </c>
    </row>
    <row r="3">
      <c r="A3" s="3" t="inlineStr"/>
    </row>
    <row r="4">
      <c r="A4" s="4" t="inlineStr">
        <is>
          <t>THE ANSWER: FOUR FLATS MEET EVERY CONDITION YOU SET</t>
        </is>
      </c>
    </row>
    <row r="5">
      <c r="A5" s="5" t="inlineStr">
        <is>
          <t>Out of ~500 listings examined across every metro corridor in the city, exactly four clear all four bars at once - under R$2,800 all-in,</t>
        </is>
      </c>
    </row>
    <row r="6">
      <c r="A6" s="5" t="inlineStr">
        <is>
          <t>two genuinely separate bedrooms of 48 m2 or more, a confirmed 24-hour doorman, and a walk to a station of 10 minutes or less.</t>
        </is>
      </c>
    </row>
    <row r="7">
      <c r="A7" s="5" t="inlineStr">
        <is>
          <t>They are ranked here by street-robbery rate in their district, because that is the risk that actually applies to you at night.</t>
        </is>
      </c>
    </row>
    <row r="8">
      <c r="A8" s="5" t="inlineStr"/>
    </row>
    <row r="9">
      <c r="A9" s="3" t="inlineStr">
        <is>
          <t>1.  ESTRADA DE ITAPECERICA 2736, Vila Prel (Campo Limpo, L5-Lilas)     R$2,620 all-in   54 m2   5.7 min</t>
        </is>
      </c>
    </row>
    <row r="10">
      <c r="A10" s="5" t="inlineStr">
        <is>
          <t xml:space="preserve">    R$2,500 is a PACKAGE INCLUDING condominio. Two large bedrooms, 1 vaga, beside Shopping Campo Limpo.</t>
        </is>
      </c>
    </row>
    <row r="11">
      <c r="A11" s="5" t="inlineStr">
        <is>
          <t xml:space="preserve">    The only listing anywhere advertising portaria 24h AND a guarita - a physical gatehouse. Strongest doorman evidence in the search.</t>
        </is>
      </c>
    </row>
    <row r="12">
      <c r="A12" s="5" t="inlineStr">
        <is>
          <t xml:space="preserve">    Its walk is a REAL routed pedestrian path, not an estimate. District robbery 898/100k - the lowest of these four, and well under Itaim's 1,303.</t>
        </is>
      </c>
    </row>
    <row r="13">
      <c r="A13" s="3" t="inlineStr">
        <is>
          <t xml:space="preserve">    Carreira Amorim - (11) 95132-8686.  A second identical unit at 2736-A, same price, 7.1 min.</t>
        </is>
      </c>
    </row>
    <row r="14">
      <c r="A14" s="5" t="inlineStr"/>
    </row>
    <row r="15">
      <c r="A15" s="3" t="inlineStr">
        <is>
          <t>2.  COND. MARGARIDAS, unit AL259, Lapa (CPTM L7/L8)                    R$2,396 all-in   64 m2   ~10 min</t>
        </is>
      </c>
    </row>
    <row r="16">
      <c r="A16" s="5" t="inlineStr">
        <is>
          <t xml:space="preserve">    R$1,660 + R$616 condominio + R$120 IPTU. The most SPACE and the lowest price of the four, with R$404 to spare.</t>
        </is>
      </c>
    </row>
    <row r="17">
      <c r="A17" s="5" t="inlineStr">
        <is>
          <t xml:space="preserve">    Portaria 24h confirmed, with facial recognition. Two bedrooms, one a suite, 1 vaga, 800 m from Estacao Lapa.</t>
        </is>
      </c>
    </row>
    <row r="18">
      <c r="A18" s="5" t="inlineStr">
        <is>
          <t xml:space="preserve">    HONEST CAVEAT: Lapa's robbery rate is 1,274/100k - essentially the same as the Itaim Bibi you are leaving. This flat wins on the</t>
        </is>
      </c>
    </row>
    <row r="19">
      <c r="A19" s="5" t="inlineStr">
        <is>
          <t xml:space="preserve">    BUILDING, not the district. The doorman is doing the work. Lapa does at least give you two rail lines plus the Barra Funda hub.</t>
        </is>
      </c>
    </row>
    <row r="20">
      <c r="A20" s="3" t="inlineStr">
        <is>
          <t xml:space="preserve">    Daniel Ruedas, CRECI 66.710-F - (11) 98148-9942.  Sister unit AL258 in the same building, R$2,586.</t>
        </is>
      </c>
    </row>
    <row r="21">
      <c r="A21" s="5" t="inlineStr"/>
    </row>
    <row r="22">
      <c r="A22" s="3" t="inlineStr">
        <is>
          <t>3.  RUA ENG.A AMALIA PEROLA CASSAB 415, Horto do Ipe (Capao Redondo, L5)  R$1,922 all-in   55 m2   10.0 min</t>
        </is>
      </c>
    </row>
    <row r="23">
      <c r="A23" s="5" t="inlineStr">
        <is>
          <t xml:space="preserve">    R$1,250 + R$552. 55 m2 WITH a vaga and an advertised portaria 24h for under two thousand reais - the best space-plus-doorman-per-real</t>
        </is>
      </c>
    </row>
    <row r="24">
      <c r="A24" s="5" t="inlineStr">
        <is>
          <t xml:space="preserve">    found anywhere in this entire search. It would leave you R$878 a month of headroom.</t>
        </is>
      </c>
    </row>
    <row r="25">
      <c r="A25" s="5" t="inlineStr">
        <is>
          <t xml:space="preserve">    TWO CAVEATS: the listing ID is old, so confirm it is still live before you get attached. And Capao Redondo's robbery rate is 1,177/100k,</t>
        </is>
      </c>
    </row>
    <row r="26">
      <c r="A26" s="5" t="inlineStr">
        <is>
          <t xml:space="preserve">    2.2 times Vila Sonia's. Cheap for a reason, though still below Itaim Bibi's 1,303.</t>
        </is>
      </c>
    </row>
    <row r="27">
      <c r="A27" s="3" t="inlineStr">
        <is>
          <t xml:space="preserve">    Larissa Oliveira - (11) 98690-0203.</t>
        </is>
      </c>
    </row>
    <row r="28">
      <c r="A28" s="5" t="inlineStr"/>
    </row>
    <row r="29">
      <c r="A29" s="4" t="inlineStr">
        <is>
          <t>AND THE ONE TO CALL IF THE DOORMAN CAN BEND</t>
        </is>
      </c>
    </row>
    <row r="30">
      <c r="A30" s="3" t="inlineStr">
        <is>
          <t>RUA CABO ESTACIO DA CONCEICAO 590, Parque Maria Helena (Capao Redondo)  R$2,199 all-in   42 m2   8.2 min</t>
        </is>
      </c>
    </row>
    <row r="31">
      <c r="A31" s="5" t="inlineStr">
        <is>
          <t>R$1,800 + a condominio of just R$279 - which somehow still buys pool, gym, sports court, party room, play room, lift and an advertised</t>
        </is>
      </c>
    </row>
    <row r="32">
      <c r="A32" s="5" t="inlineStr">
        <is>
          <t>portaria 24h. It is 42 m2 rather than 48+, so it misses the real-two-bedroom bar by a whisker. Lopes &amp; Silva - (11) 98133-6065.</t>
        </is>
      </c>
    </row>
    <row r="33">
      <c r="A33" s="5" t="inlineStr"/>
    </row>
    <row r="34">
      <c r="A34" s="3" t="inlineStr">
        <is>
          <t>Every one of these is a real advert that was live on 20 September 2026. Call before you travel - this market moves in days, not weeks.</t>
        </is>
      </c>
    </row>
    <row r="35">
      <c r="A35" s="5" t="inlineStr"/>
    </row>
    <row r="36">
      <c r="A36" s="4" t="inlineStr">
        <is>
          <t>WHAT THE MONEY ACTUALLY BUYS (why Itaim was never possible)</t>
        </is>
      </c>
    </row>
    <row r="37">
      <c r="A37" s="5" t="inlineStr">
        <is>
          <t>Your ceiling is R$2,800 ALL-IN. In Brazil the advertised rent is not what you pay - you pay rent + condominio + IPTU.</t>
        </is>
      </c>
    </row>
    <row r="38">
      <c r="A38" s="5" t="inlineStr">
        <is>
          <t>Pinheiros rents at ~R$99-105/m2. Itaim Bibi ~R$89-94. Vila Olimpia ~R$116. At R$2,000 of rent, Pinheiros buys you about 20 m2.</t>
        </is>
      </c>
    </row>
    <row r="39">
      <c r="A39" s="5" t="inlineStr">
        <is>
          <t>That is a studio. The cheapest two-bedroom found in Pinheiros was R$5,086 all-in; in Itaim Bibi, R$8,304. Three times your budget.</t>
        </is>
      </c>
    </row>
    <row r="40">
      <c r="A40" s="5" t="inlineStr">
        <is>
          <t>This was never a question of searching harder. The needle is not hidden in Itaim - it is one or two metro stops away.</t>
        </is>
      </c>
    </row>
    <row r="41">
      <c r="A41" s="3" t="inlineStr"/>
    </row>
    <row r="42">
      <c r="A42" s="4" t="inlineStr">
        <is>
          <t>THE SINGLE MOST IMPORTANT THING WE LEARNED - AND IT CHANGES YOUR QUESTION</t>
        </is>
      </c>
    </row>
    <row r="43">
      <c r="A43" s="3" t="inlineStr">
        <is>
          <t>You asked: 'would I let my daughter walk home from the station at 1am?'  At 1am there IS no station.</t>
        </is>
      </c>
    </row>
    <row r="44">
      <c r="A44" s="5" t="inlineStr">
        <is>
          <t>The Sao Paulo metro runs 04h40 to midnight. The last train is around 00h00 on every line, every night.</t>
        </is>
      </c>
    </row>
    <row r="45">
      <c r="A45" s="5" t="inlineStr">
        <is>
          <t>A 24-hour service exists ONLY on Saturday nights, ONLY on lines 1, 2, 3 and 15 - it is an experiment that began in Dec 2025 and one</t>
        </is>
      </c>
    </row>
    <row r="46">
      <c r="A46" s="5" t="inlineStr">
        <is>
          <t>source says the trial runs only through September 2026, i.e. right now. Renewal is not guaranteed. Line 4-Amarela - the line that</t>
        </is>
      </c>
    </row>
    <row r="47">
      <c r="A47" s="5" t="inlineStr">
        <is>
          <t>serves Pinheiros, Faria Lima and Oscar Freire - is NOT in the programme at all. And transfers between lines stop after midnight.</t>
        </is>
      </c>
    </row>
    <row r="48">
      <c r="A48" s="5" t="inlineStr"/>
    </row>
    <row r="49">
      <c r="A49" s="3" t="inlineStr">
        <is>
          <t>So the real safety question is not 'is the walk from the station safe?'  It is 'is the drop-off in front of the building safe?'</t>
        </is>
      </c>
    </row>
    <row r="50">
      <c r="A50" s="5" t="inlineStr">
        <is>
          <t>Any casting, shoot, fitting or event that ends after ~23h means a car home. Realistically R$40-90 a trip from Jardins or Itaim.</t>
        </is>
      </c>
    </row>
    <row r="51">
      <c r="A51" s="5" t="inlineStr">
        <is>
          <t>Two or three late nights a week is R$400-900 a month - between 14% and 32% of your entire housing budget, hiding in plain sight.</t>
        </is>
      </c>
    </row>
    <row r="52">
      <c r="A52" s="5" t="inlineStr">
        <is>
          <t>This must go in the budget BEFORE choosing an apartment. It also changes what a good street looks like: you want one a driver will</t>
        </is>
      </c>
    </row>
    <row r="53">
      <c r="A53" s="5" t="inlineStr">
        <is>
          <t>happily enter and a lit doorway to be dropped at - which argues for being ON or one block off a lit arterial, not tucked away.</t>
        </is>
      </c>
    </row>
    <row r="54">
      <c r="A54" s="3" t="inlineStr"/>
    </row>
    <row r="55">
      <c r="A55" s="4" t="inlineStr">
        <is>
          <t>THE GOOD NEWS NOBODY EXPECTED: YOU ARE MOVING SOMEWHERE SAFER</t>
        </is>
      </c>
    </row>
    <row r="56">
      <c r="A56" s="5" t="inlineStr">
        <is>
          <t>Official SSP/SP figures, Aug 2025 - Jul 2026, per 100,000 residents. The city average is 3,746.</t>
        </is>
      </c>
    </row>
    <row r="57">
      <c r="A57" s="5" t="inlineStr">
        <is>
          <t xml:space="preserve">   Itaim Bibi, where you live now ...... 5,910   (+58% above average).  Street robbery: 1,303 per 100k.</t>
        </is>
      </c>
    </row>
    <row r="58">
      <c r="A58" s="5" t="inlineStr">
        <is>
          <t xml:space="preserve">   Saude / Sao Judas .................. 1,918   (-49%).                 Street robbery:   465 per 100k.</t>
        </is>
      </c>
    </row>
    <row r="59">
      <c r="A59" s="5" t="inlineStr">
        <is>
          <t xml:space="preserve">   Jabaquara / Conceicao .............. 1,985   (-47%).                 Street robbery:   394 per 100k.</t>
        </is>
      </c>
    </row>
    <row r="60">
      <c r="A60" s="5" t="inlineStr">
        <is>
          <t xml:space="preserve">   Rio Pequeno ........................ 1,704   (-55%) - the safest district found anywhere in this search.</t>
        </is>
      </c>
    </row>
    <row r="61">
      <c r="A61" s="5" t="inlineStr">
        <is>
          <t xml:space="preserve">   Vila Sonia ......................... 2,335   (-38%).   Robberies there are FALLING 15.9% year on year.</t>
        </is>
      </c>
    </row>
    <row r="62">
      <c r="A62" s="5" t="inlineStr">
        <is>
          <t>Street robbery - the crime that actually threatens two women on foot - is roughly three times lower in the target areas than in</t>
        </is>
      </c>
    </row>
    <row r="63">
      <c r="A63" s="5" t="inlineStr">
        <is>
          <t>the Itaim Bibi you are leaving. And Itaim Bibi's own numbers rose 28% year on year. You are not trading safety for space.</t>
        </is>
      </c>
    </row>
    <row r="64">
      <c r="A64" s="2" t="inlineStr">
        <is>
          <t>Honest caveat: these count crimes where they OCCUR, not where victims live, so commercial districts like Itaim and Pinheiros are</t>
        </is>
      </c>
    </row>
    <row r="65">
      <c r="A65" s="2" t="inlineStr">
        <is>
          <t>inflated by their huge daytime populations. The gap is real and large, but it is somewhat overstated. Do not read it as three-times-safer.</t>
        </is>
      </c>
    </row>
    <row r="66">
      <c r="A66" s="3" t="inlineStr"/>
    </row>
    <row r="67">
      <c r="A67" s="4" t="inlineStr">
        <is>
          <t>THE TRADE YOU CANNOT ESCAPE</t>
        </is>
      </c>
    </row>
    <row r="68">
      <c r="A68" s="5" t="inlineStr">
        <is>
          <t>At R$2,800 all-in you can have any TWO of these three. Almost never all three:</t>
        </is>
      </c>
    </row>
    <row r="69">
      <c r="A69" s="5" t="inlineStr">
        <is>
          <t xml:space="preserve">      (a) a genuine live 24-hour doorman      (b) two real bedrooms, 48 m2 or more      (c) a walk to the metro under 10 minutes</t>
        </is>
      </c>
    </row>
    <row r="70">
      <c r="A70" s="5" t="inlineStr">
        <is>
          <t>The Lapa flat at the top of this page is the one listing that broke that rule. Everything else asks you to give one up.</t>
        </is>
      </c>
    </row>
    <row r="71">
      <c r="A71" s="5" t="inlineStr">
        <is>
          <t>Decide which one you are sacrificing deliberately, rather than discovering it on move-in day.</t>
        </is>
      </c>
    </row>
    <row r="72">
      <c r="A72" s="3" t="inlineStr"/>
    </row>
    <row r="73">
      <c r="A73" s="4" t="inlineStr">
        <is>
          <t>THE 31 m2 TRAP</t>
        </is>
      </c>
    </row>
    <row r="74">
      <c r="A74" s="5" t="inlineStr">
        <is>
          <t>Many listings say '2 dormitorios' at 29-40 m2. Split two ways that is two rooms of about 7 m2 - a bed and nothing else, and for two</t>
        </is>
      </c>
    </row>
    <row r="75">
      <c r="A75" s="5" t="inlineStr">
        <is>
          <t>models, nowhere to put clothes. You are leaving an 8-woman flat to get space and privacy; a 35 m2 'two-bedroom' does not deliver that.</t>
        </is>
      </c>
    </row>
    <row r="76">
      <c r="A76" s="5" t="inlineStr">
        <is>
          <t>Several researchers also found units advertised as '2 DORM' whose own specification said '1 quarto'. Mis-listing is common.</t>
        </is>
      </c>
    </row>
    <row r="77">
      <c r="A77" s="5" t="inlineStr">
        <is>
          <t>The LISTINGS tab scores this for you. Demand the floorplan (planta) before every viewing, and physically measure both rooms.</t>
        </is>
      </c>
    </row>
    <row r="78">
      <c r="A78" s="3" t="inlineStr"/>
    </row>
    <row r="79">
      <c r="A79" s="4" t="inlineStr">
        <is>
          <t>THE THING MOST LIKELY TO SINK THIS - AND IT IS NOT THE RENT</t>
        </is>
      </c>
    </row>
    <row r="80">
      <c r="A80" s="5" t="inlineStr">
        <is>
          <t>Seguro-fianca requires proven income of 2-3x rent plus charges: roughly R$5,600-8,400 a month, combined between the two of you.</t>
        </is>
      </c>
    </row>
    <row r="81">
      <c r="A81" s="5" t="inlineStr">
        <is>
          <t>As autonomas paid per job you will be asked for IRPF tax declarations, not payslips. It also COSTS 1.2-2.5x one month's rent per year,</t>
        </is>
      </c>
    </row>
    <row r="82">
      <c r="A82" s="5" t="inlineStr">
        <is>
          <t>usually billed monthly at about 10% of rent - roughly +R$200/month ON TOP of the R$2,800. See the MONEY tab.</t>
        </is>
      </c>
    </row>
    <row r="83">
      <c r="A83" s="3" t="inlineStr">
        <is>
          <t>GET PRE-APPROVED BY AN INSURER BEFORE YOU VIEW ANYTHING. This screens out more young renters than price does.</t>
        </is>
      </c>
    </row>
    <row r="84">
      <c r="A84" s="3" t="inlineStr"/>
    </row>
    <row r="85">
      <c r="A85" s="4" t="inlineStr">
        <is>
          <t>HOW TO USE THIS FILE</t>
        </is>
      </c>
    </row>
    <row r="86">
      <c r="A86" s="5" t="inlineStr">
        <is>
          <t>2 TOP PICKS      - the shortlist with names and phone numbers. Start here, start calling.</t>
        </is>
      </c>
    </row>
    <row r="87">
      <c r="A87" s="5" t="inlineStr">
        <is>
          <t>3 ALL LISTINGS   - every unit found, all-in cost calculated. Green = fits. Filter and sort it however you like.</t>
        </is>
      </c>
    </row>
    <row r="88">
      <c r="A88" s="5" t="inlineStr">
        <is>
          <t>4 SAFETY DATA    - crime rates and resident surveys per district, with sample sizes so you know what to trust.</t>
        </is>
      </c>
    </row>
    <row r="89">
      <c r="A89" s="5" t="inlineStr">
        <is>
          <t>5 THE MIDNIGHT PROBLEM - transport reality and a calculator for the true monthly cost including late-night cars.</t>
        </is>
      </c>
    </row>
    <row r="90">
      <c r="A90" s="5" t="inlineStr">
        <is>
          <t>6 MONEY          - seguro-fianca, the condominio rule that decides everything, IPTU, gyms.</t>
        </is>
      </c>
    </row>
    <row r="91">
      <c r="A91" s="5" t="inlineStr">
        <is>
          <t>7 TRAPS          - the specific ways this search goes wrong. Read before any viewing.</t>
        </is>
      </c>
    </row>
    <row r="92">
      <c r="A92" s="5" t="inlineStr">
        <is>
          <t>8 VIEWING LOG    - blank, for you to fill in as you visit. One example row shows the format.</t>
        </is>
      </c>
    </row>
    <row r="93">
      <c r="A93" s="5" t="inlineStr">
        <is>
          <t>9 SOURCES        - where the numbers came from, and what we could NOT verify.</t>
        </is>
      </c>
    </row>
    <row r="94">
      <c r="A94" s="3" t="inlineStr"/>
    </row>
    <row r="95">
      <c r="A95" s="4" t="inlineStr">
        <is>
          <t>YELLOW CELLS ARE YOURS TO CHANGE - the sheet recalculates around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6"/>
  <sheetViews>
    <sheetView workbookViewId="0">
      <pane ySplit="6" topLeftCell="A7" activePane="bottomLeft" state="frozen"/>
      <selection pane="bottomLeft" activeCell="A1" sqref="A1"/>
    </sheetView>
  </sheetViews>
  <sheetFormatPr baseColWidth="8" defaultRowHeight="15"/>
  <cols>
    <col width="5" customWidth="1" min="1" max="1"/>
    <col width="20" customWidth="1" min="2" max="2"/>
    <col width="22" customWidth="1" min="3" max="3"/>
    <col width="22" customWidth="1" min="4" max="4"/>
    <col width="46" customWidth="1" min="5" max="5"/>
    <col width="9" customWidth="1" min="6" max="6"/>
    <col width="9" customWidth="1" min="7" max="7"/>
    <col width="8" customWidth="1" min="8" max="8"/>
    <col width="10" customWidth="1" min="9" max="9"/>
    <col width="10" customWidth="1" min="10" max="10"/>
    <col width="6" customWidth="1" min="11" max="11"/>
    <col width="6" customWidth="1" min="12" max="12"/>
    <col width="11" customWidth="1" min="13" max="13"/>
    <col width="24" customWidth="1" min="14" max="14"/>
    <col width="20" customWidth="1" min="15" max="15"/>
    <col width="86" customWidth="1" min="16" max="16"/>
  </cols>
  <sheetData>
    <row r="1">
      <c r="A1" s="6" t="inlineStr">
        <is>
          <t>THE SHORTLIST - start calling</t>
        </is>
      </c>
    </row>
    <row r="2">
      <c r="A2" s="7" t="inlineStr">
        <is>
          <t>Ranked by how completely each one meets your four conditions. All-in = rent + condominio + IPTU. Prices as advertised 20 Sep 2026 and they move fast - re-confirm before you travel.</t>
        </is>
      </c>
    </row>
    <row r="4">
      <c r="A4" s="8" t="inlineStr">
        <is>
          <t>YOUR CEILING, all-in (R$):</t>
        </is>
      </c>
      <c r="F4" s="9" t="n">
        <v>2800</v>
      </c>
    </row>
    <row r="6">
      <c r="A6" s="10" t="inlineStr">
        <is>
          <t>#</t>
        </is>
      </c>
      <c r="B6" s="10" t="inlineStr">
        <is>
          <t>Zone</t>
        </is>
      </c>
      <c r="C6" s="10" t="inlineStr">
        <is>
          <t>Metro line</t>
        </is>
      </c>
      <c r="D6" s="10" t="inlineStr">
        <is>
          <t>Station + walk</t>
        </is>
      </c>
      <c r="E6" s="10" t="inlineStr">
        <is>
          <t>Address / building</t>
        </is>
      </c>
      <c r="F6" s="10" t="inlineStr">
        <is>
          <t>Rent</t>
        </is>
      </c>
      <c r="G6" s="10" t="inlineStr">
        <is>
          <t>Condo</t>
        </is>
      </c>
      <c r="H6" s="10" t="inlineStr">
        <is>
          <t>IPTU</t>
        </is>
      </c>
      <c r="I6" s="10" t="inlineStr">
        <is>
          <t>ALL-IN</t>
        </is>
      </c>
      <c r="J6" s="10" t="inlineStr">
        <is>
          <t>vs ceiling</t>
        </is>
      </c>
      <c r="K6" s="10" t="inlineStr">
        <is>
          <t>m2</t>
        </is>
      </c>
      <c r="L6" s="10" t="inlineStr">
        <is>
          <t>Vaga</t>
        </is>
      </c>
      <c r="M6" s="10" t="inlineStr">
        <is>
          <t>PORTARIA</t>
        </is>
      </c>
      <c r="N6" s="10" t="inlineStr">
        <is>
          <t>Agency</t>
        </is>
      </c>
      <c r="O6" s="10" t="inlineStr">
        <is>
          <t>Phone</t>
        </is>
      </c>
      <c r="P6" s="10" t="inlineStr">
        <is>
          <t>Why this one - and what is wrong with it</t>
        </is>
      </c>
    </row>
    <row r="7">
      <c r="A7" s="11" t="inlineStr">
        <is>
          <t>A1</t>
        </is>
      </c>
      <c r="B7" s="12" t="inlineStr">
        <is>
          <t>Lapa</t>
        </is>
      </c>
      <c r="C7" s="12" t="inlineStr">
        <is>
          <t>CPTM L7/L8 (+L3 hub nearby)</t>
        </is>
      </c>
      <c r="D7" s="12" t="inlineStr">
        <is>
          <t>Lapa (10 min)</t>
        </is>
      </c>
      <c r="E7" s="13" t="inlineStr">
        <is>
          <t>Cond. Margaridas, unit AL259 - 800m from Estacao Lapa</t>
        </is>
      </c>
      <c r="F7" s="14" t="n">
        <v>1660</v>
      </c>
      <c r="G7" s="14" t="n">
        <v>616</v>
      </c>
      <c r="H7" s="14" t="n">
        <v>120</v>
      </c>
      <c r="I7" s="14">
        <f>IF(COUNT(F7,G7)&lt;2,"",F7+G7+H7)</f>
        <v/>
      </c>
      <c r="J7" s="14">
        <f>IF(COUNT(I7)=0,"",$F$4-I7)</f>
        <v/>
      </c>
      <c r="K7" s="12" t="n">
        <v>64</v>
      </c>
      <c r="L7" s="11" t="n">
        <v>1</v>
      </c>
      <c r="M7" s="11" t="inlineStr">
        <is>
          <t>24h LIVE</t>
        </is>
      </c>
      <c r="N7" s="12" t="inlineStr">
        <is>
          <t>Daniel Ruedas CRECI 66.710-F</t>
        </is>
      </c>
      <c r="O7" s="12" t="inlineStr">
        <is>
          <t>(11) 98148-9942</t>
        </is>
      </c>
      <c r="P7" s="12" t="inlineStr">
        <is>
          <t>THE MATCH. Only listing found that hits ALL FOUR: under budget (R$404 spare), 64m2 of real space, CONFIRMED live portaria 24h + facial recognition, and a genuine sub-10-min station walk. Lapa gives network redundancy (L7/L8 + Barra Funda L3 hub). Price showed R$1,660 with a note it was previously R$1,700 - confirm. HONEST CAVEAT, added after the crime data came in: Lapa's robbery rate is 1,274/100k, essentially the same as the Itaim Bibi you are leaving (1,303). So this flat wins on the FLAT - space, a real doorman with facial recognition, price - not on the district. The doorman is doing the work here. Compare it against the Penha and Ipiranga options, which are in genuinely quieter districts.</t>
        </is>
      </c>
    </row>
    <row r="8">
      <c r="A8" s="11" t="inlineStr">
        <is>
          <t>A2</t>
        </is>
      </c>
      <c r="B8" s="12" t="inlineStr">
        <is>
          <t>Lapa</t>
        </is>
      </c>
      <c r="C8" s="12" t="inlineStr">
        <is>
          <t>CPTM L7/L8</t>
        </is>
      </c>
      <c r="D8" s="12" t="inlineStr">
        <is>
          <t>Lapa (10 min)</t>
        </is>
      </c>
      <c r="E8" s="13" t="inlineStr">
        <is>
          <t>Cond. Margaridas, unit AL258 - same building</t>
        </is>
      </c>
      <c r="F8" s="14" t="n">
        <v>1850</v>
      </c>
      <c r="G8" s="14" t="n">
        <v>616</v>
      </c>
      <c r="H8" s="14" t="n">
        <v>120</v>
      </c>
      <c r="I8" s="14">
        <f>IF(COUNT(F8,G8)&lt;2,"",F8+G8+H8)</f>
        <v/>
      </c>
      <c r="J8" s="14">
        <f>IF(COUNT(I8)=0,"",$F$4-I8)</f>
        <v/>
      </c>
      <c r="K8" s="12" t="n">
        <v>64</v>
      </c>
      <c r="L8" s="11" t="n">
        <v>1</v>
      </c>
      <c r="M8" s="11" t="inlineStr">
        <is>
          <t>24h LIVE</t>
        </is>
      </c>
      <c r="N8" s="12" t="inlineStr">
        <is>
          <t>Daniel Ruedas CRECI 66.710-F</t>
        </is>
      </c>
      <c r="O8" s="12" t="inlineStr">
        <is>
          <t>(11) 98148-9942</t>
        </is>
      </c>
      <c r="P8" s="12" t="inlineStr">
        <is>
          <t>Sister unit in the SAME building. Two vacancies in one block materially raises the odds one is still free. Call about both.</t>
        </is>
      </c>
    </row>
    <row r="9">
      <c r="A9" s="15" t="inlineStr">
        <is>
          <t>A3</t>
        </is>
      </c>
      <c r="B9" s="16" t="inlineStr">
        <is>
          <t>Vila Prel (Campo Limpo)</t>
        </is>
      </c>
      <c r="C9" s="16" t="inlineStr">
        <is>
          <t>L5-Lilas</t>
        </is>
      </c>
      <c r="D9" s="16" t="inlineStr">
        <is>
          <t>Campo Limpo (5.7 min VERIFIED) (6 min)</t>
        </is>
      </c>
      <c r="E9" s="16" t="inlineStr">
        <is>
          <t>Estrada de Itapecerica, 2736 - beside Shopping Campo Limpo</t>
        </is>
      </c>
      <c r="F9" s="17" t="n">
        <v>2500</v>
      </c>
      <c r="G9" s="17" t="n">
        <v>0</v>
      </c>
      <c r="H9" s="17" t="n">
        <v>120</v>
      </c>
      <c r="I9" s="17">
        <f>IF(COUNT(F9,G9)&lt;2,"",F9+G9+H9)</f>
        <v/>
      </c>
      <c r="J9" s="17">
        <f>IF(COUNT(I9)=0,"",$F$4-I9)</f>
        <v/>
      </c>
      <c r="K9" s="16" t="n">
        <v>54</v>
      </c>
      <c r="L9" s="15" t="n">
        <v>1</v>
      </c>
      <c r="M9" s="18" t="inlineStr">
        <is>
          <t>24h LIVE</t>
        </is>
      </c>
      <c r="N9" s="16" t="inlineStr">
        <is>
          <t>Carreira Amorim</t>
        </is>
      </c>
      <c r="O9" s="16" t="inlineStr">
        <is>
          <t>(11) 95132-8686</t>
        </is>
      </c>
      <c r="P9" s="16" t="inlineStr">
        <is>
          <t>CO-LEADER. R$2,500 is a PACKAGE INCLUDING condominio. 54 m2, two amplos dormitorios, 1 vaga, and the only listing in its corridor advertising 'Portaria 24 horas' AND a GUARITA (a physical gatehouse) - the strongest doorman evidence found anywhere. Walk time is a REAL pedestrian route (OSRM), not an estimate: 5.7 min. Vila Prel is the calmest pocket in its district (144th of 1,249). A second identical unit at 2736-A, 7.1 min walk, same price.</t>
        </is>
      </c>
    </row>
    <row r="10">
      <c r="A10" s="15" t="inlineStr">
        <is>
          <t>A4</t>
        </is>
      </c>
      <c r="B10" s="16" t="inlineStr">
        <is>
          <t>Pq. Maria Helena (Capao Redondo)</t>
        </is>
      </c>
      <c r="C10" s="16" t="inlineStr">
        <is>
          <t>L5-Lilas</t>
        </is>
      </c>
      <c r="D10" s="16" t="inlineStr">
        <is>
          <t>Capao Redondo (8.2 min VERIFIED) (8 min)</t>
        </is>
      </c>
      <c r="E10" s="16" t="inlineStr">
        <is>
          <t>Rua Cabo Estacio da Conceicao, 590</t>
        </is>
      </c>
      <c r="F10" s="17" t="n">
        <v>1800</v>
      </c>
      <c r="G10" s="17" t="n">
        <v>279</v>
      </c>
      <c r="H10" s="17" t="n">
        <v>120</v>
      </c>
      <c r="I10" s="17">
        <f>IF(COUNT(F10,G10)&lt;2,"",F10+G10+H10)</f>
        <v/>
      </c>
      <c r="J10" s="17">
        <f>IF(COUNT(I10)=0,"",$F$4-I10)</f>
        <v/>
      </c>
      <c r="K10" s="16" t="n">
        <v>42</v>
      </c>
      <c r="L10" s="15" t="n">
        <v>0</v>
      </c>
      <c r="M10" s="18" t="inlineStr">
        <is>
          <t>24h LIVE</t>
        </is>
      </c>
      <c r="N10" s="16" t="inlineStr">
        <is>
          <t>Lopes &amp; Silva</t>
        </is>
      </c>
      <c r="O10" s="16" t="inlineStr">
        <is>
          <t>(11) 98133-6065</t>
        </is>
      </c>
      <c r="P10" s="16" t="inlineStr">
        <is>
          <t>THE BUDGET STANDOUT at R$2,199 all-in - R$600 under your ceiling. Condominio of only R$279 buys piscina, academia, quadra, salao de festas, brinquedoteca, elevador AND advertised portaria 24h. Proof that dense compact towers deliver staffed lobbies cheaply. 42 m2 is stated in the advert body only, so confirm it. Walk verified by real routing.</t>
        </is>
      </c>
    </row>
    <row r="11">
      <c r="A11" s="15" t="inlineStr">
        <is>
          <t>A5</t>
        </is>
      </c>
      <c r="B11" s="16" t="inlineStr">
        <is>
          <t>Horto do Ipe (Capao Redondo)</t>
        </is>
      </c>
      <c r="C11" s="16" t="inlineStr">
        <is>
          <t>L5-Lilas</t>
        </is>
      </c>
      <c r="D11" s="16" t="inlineStr">
        <is>
          <t>Capao Redondo (10.0 min VERIFIED) (10 min)</t>
        </is>
      </c>
      <c r="E11" s="16" t="inlineStr">
        <is>
          <t>Rua Eng.a Amalia Perola Cassab, 415</t>
        </is>
      </c>
      <c r="F11" s="17" t="n">
        <v>1250</v>
      </c>
      <c r="G11" s="17" t="n">
        <v>552</v>
      </c>
      <c r="H11" s="17" t="n">
        <v>120</v>
      </c>
      <c r="I11" s="17">
        <f>IF(COUNT(F11,G11)&lt;2,"",F11+G11+H11)</f>
        <v/>
      </c>
      <c r="J11" s="17">
        <f>IF(COUNT(I11)=0,"",$F$4-I11)</f>
        <v/>
      </c>
      <c r="K11" s="16" t="n">
        <v>55</v>
      </c>
      <c r="L11" s="15" t="n">
        <v>1</v>
      </c>
      <c r="M11" s="18" t="inlineStr">
        <is>
          <t>24h LIVE</t>
        </is>
      </c>
      <c r="N11" s="16" t="inlineStr">
        <is>
          <t>Larissa Oliveira</t>
        </is>
      </c>
      <c r="O11" s="16" t="inlineStr">
        <is>
          <t>(11) 98690-0203</t>
        </is>
      </c>
      <c r="P11" s="16" t="inlineStr">
        <is>
          <t>55 m2 WITH a vaga and advertised portaria 24h for R$1,922 all-in - the best space-plus-doorman-per-real found in the entire search. Walk verified at 10.0 min, right on your limit. Listing ID is old, so verify it is still live before getting attached. A second unit in the same building at R$2,020 all-in, 45 m2.</t>
        </is>
      </c>
    </row>
    <row r="12">
      <c r="A12" s="15" t="inlineStr">
        <is>
          <t>B1</t>
        </is>
      </c>
      <c r="B12" s="16" t="inlineStr">
        <is>
          <t>Vila Sonia</t>
        </is>
      </c>
      <c r="C12" s="16" t="inlineStr">
        <is>
          <t>L4-Amarela</t>
        </is>
      </c>
      <c r="D12" s="16" t="inlineStr">
        <is>
          <t>Vila Sonia (8 min)</t>
        </is>
      </c>
      <c r="E12" s="16" t="inlineStr">
        <is>
          <t>Rua Dias Vieira</t>
        </is>
      </c>
      <c r="F12" s="17" t="n">
        <v>1900</v>
      </c>
      <c r="G12" s="17" t="n">
        <v>470</v>
      </c>
      <c r="H12" s="17" t="n">
        <v>120</v>
      </c>
      <c r="I12" s="17">
        <f>IF(COUNT(F12,G12)&lt;2,"",F12+G12+H12)</f>
        <v/>
      </c>
      <c r="J12" s="17">
        <f>IF(COUNT(I12)=0,"",$F$4-I12)</f>
        <v/>
      </c>
      <c r="K12" s="16" t="n">
        <v>31</v>
      </c>
      <c r="L12" s="15" t="n"/>
      <c r="M12" s="18" t="inlineStr">
        <is>
          <t>24h LIVE</t>
        </is>
      </c>
      <c r="N12" s="16" t="inlineStr">
        <is>
          <t>ABIATAR IMOVEIS</t>
        </is>
      </c>
      <c r="O12" s="16" t="inlineStr">
        <is>
          <t>(see listing)</t>
        </is>
      </c>
      <c r="P12" s="16" t="inlineStr">
        <is>
          <t>BEST COMMUTE IN THE WHOLE SEARCH: 6 min to Pinheiros, 8 to Faria Lima, 12 to Oscar Freire. Vila Sonia's robbery rate is 533/100k - well under half Itaim Bibi's 1,303. CAVEAT: Linha 4 is NOT in the Saturday all-night programme, so there is no late train home any night of the week. Listing states 'Portaria 24 horas', 'Seguranca 24h', 'Reconhecimento facial na portaria', CFTV. Walk time QUOTED in the ad: 8 min. The catch is 31m2 - genuinely small for two.</t>
        </is>
      </c>
    </row>
    <row r="13">
      <c r="A13" s="15" t="inlineStr">
        <is>
          <t>B2</t>
        </is>
      </c>
      <c r="B13" s="16" t="inlineStr">
        <is>
          <t>Butanta</t>
        </is>
      </c>
      <c r="C13" s="16" t="inlineStr">
        <is>
          <t>L4-Amarela</t>
        </is>
      </c>
      <c r="D13" s="16" t="inlineStr">
        <is>
          <t>Butanta (BUS, not walk)</t>
        </is>
      </c>
      <c r="E13" s="16" t="inlineStr">
        <is>
          <t>ref AP4423-BUT - street address withheld, phone for it</t>
        </is>
      </c>
      <c r="F13" s="17" t="n">
        <v>1850</v>
      </c>
      <c r="G13" s="17" t="n">
        <v>556</v>
      </c>
      <c r="H13" s="17" t="n">
        <v>120</v>
      </c>
      <c r="I13" s="17">
        <f>IF(COUNT(F13,G13)&lt;2,"",F13+G13+H13)</f>
        <v/>
      </c>
      <c r="J13" s="17">
        <f>IF(COUNT(I13)=0,"",$F$4-I13)</f>
        <v/>
      </c>
      <c r="K13" s="16" t="n">
        <v>56</v>
      </c>
      <c r="L13" s="15" t="n">
        <v>1</v>
      </c>
      <c r="M13" s="18" t="inlineStr">
        <is>
          <t>24h LIVE</t>
        </is>
      </c>
      <c r="N13" s="16" t="inlineStr">
        <is>
          <t>Butanta Imoveis</t>
        </is>
      </c>
      <c r="O13" s="16" t="inlineStr">
        <is>
          <t>(11) 3731-3588</t>
        </is>
      </c>
      <c r="P13" s="16" t="inlineStr">
        <is>
          <t>56m2 + 1 vaga + 'Portaria com seguranca 24 horas' + piscina/quadra at R$2,526 all-in is the best size-to-price-with-doorman found. BUT the ad says 'ponto de onibus em frente' - a BUS to Butanta metro, not a walk. Fails the 10-min rule unless a short bus is acceptable.</t>
        </is>
      </c>
    </row>
    <row r="14">
      <c r="A14" s="15" t="inlineStr">
        <is>
          <t>C1</t>
        </is>
      </c>
      <c r="B14" s="16" t="inlineStr">
        <is>
          <t>Alto do Ipiranga</t>
        </is>
      </c>
      <c r="C14" s="16" t="inlineStr">
        <is>
          <t>L2-Verde</t>
        </is>
      </c>
      <c r="D14" s="16" t="inlineStr">
        <is>
          <t>Alto do Ipiranga</t>
        </is>
      </c>
      <c r="E14" s="16" t="inlineStr">
        <is>
          <t>Portal Ipiranga ref AP4828</t>
        </is>
      </c>
      <c r="F14" s="17" t="n">
        <v>2000</v>
      </c>
      <c r="G14" s="17" t="n">
        <v>650</v>
      </c>
      <c r="H14" s="17" t="n">
        <v>69</v>
      </c>
      <c r="I14" s="17">
        <f>IF(COUNT(F14,G14)&lt;2,"",F14+G14+H14)</f>
        <v/>
      </c>
      <c r="J14" s="17">
        <f>IF(COUNT(I14)=0,"",$F$4-I14)</f>
        <v/>
      </c>
      <c r="K14" s="16" t="n">
        <v>50</v>
      </c>
      <c r="L14" s="15" t="n"/>
      <c r="M14" s="18" t="inlineStr">
        <is>
          <t>24h LIVE</t>
        </is>
      </c>
      <c r="N14" s="16" t="inlineStr">
        <is>
          <t>Portal Ipiranga</t>
        </is>
      </c>
      <c r="O14" s="16" t="inlineStr">
        <is>
          <t>(see site)</t>
        </is>
      </c>
      <c r="P14" s="16" t="inlineStr">
        <is>
          <t>50m2 + portaria 24h + IPTU actually disclosed on the invoice. L2-Verde stops INSIDE the Jardins (Brigadeiro/Trianon-Masp/Consolacao) so it is ~30 min to castings with NO TRANSFER. District: 74% of residents feel safe, 88% well-lit (n=83).</t>
        </is>
      </c>
    </row>
    <row r="15">
      <c r="A15" s="15" t="inlineStr">
        <is>
          <t>C2</t>
        </is>
      </c>
      <c r="B15" s="16" t="inlineStr">
        <is>
          <t>Socorro</t>
        </is>
      </c>
      <c r="C15" s="16" t="inlineStr">
        <is>
          <t>CPTM L9 + Metro L5 fallback</t>
        </is>
      </c>
      <c r="D15" s="16" t="inlineStr">
        <is>
          <t>Socorro 6 min / Santo Amaro 8 min (6 min)</t>
        </is>
      </c>
      <c r="E15" s="16" t="inlineStr">
        <is>
          <t>Cond. Vivaz Socorro, Rua Aimores 80</t>
        </is>
      </c>
      <c r="F15" s="17" t="n">
        <v>1620</v>
      </c>
      <c r="G15" s="17" t="n">
        <v>350</v>
      </c>
      <c r="H15" s="17" t="n">
        <v>35</v>
      </c>
      <c r="I15" s="17">
        <f>IF(COUNT(F15,G15)&lt;2,"",F15+G15+H15)</f>
        <v/>
      </c>
      <c r="J15" s="17">
        <f>IF(COUNT(I15)=0,"",$F$4-I15)</f>
        <v/>
      </c>
      <c r="K15" s="16" t="n">
        <v>31</v>
      </c>
      <c r="L15" s="15" t="n">
        <v>1</v>
      </c>
      <c r="M15" s="18" t="inlineStr">
        <is>
          <t>24h LIVE</t>
        </is>
      </c>
      <c r="N15" s="16" t="inlineStr">
        <is>
          <t>(31 units listed)</t>
        </is>
      </c>
      <c r="O15" s="16" t="inlineStr">
        <is>
          <t>(via QuintoAndar)</t>
        </is>
      </c>
      <c r="P15" s="16" t="inlineStr">
        <is>
          <t>Condo only R$350 and IPTU R$35 - the cheapest running costs found anywhere WITH a portaria 24h. ACADEMIA + pool included (saves ~R$240/mo in two gym memberships). 31 units listed, sizes 31-59m2 - INSIST on a 50m2+ one. TWO stations = a Linha 9 failure does not strand them. CAVEAT: Socorro is the #1 district in the CITY for RISING phone robbery (+41%).</t>
        </is>
      </c>
    </row>
    <row r="16">
      <c r="A16" s="15" t="inlineStr">
        <is>
          <t>D1</t>
        </is>
      </c>
      <c r="B16" s="16" t="inlineStr">
        <is>
          <t>Jabaquara</t>
        </is>
      </c>
      <c r="C16" s="16" t="inlineStr">
        <is>
          <t>L1-Azul</t>
        </is>
      </c>
      <c r="D16" s="16" t="inlineStr">
        <is>
          <t>Conceicao / Jabaquara</t>
        </is>
      </c>
      <c r="E16" s="16" t="inlineStr">
        <is>
          <t>Rua Taquarucu</t>
        </is>
      </c>
      <c r="F16" s="17" t="n">
        <v>2000</v>
      </c>
      <c r="G16" s="17" t="n">
        <v>831</v>
      </c>
      <c r="H16" s="17" t="n">
        <v>59</v>
      </c>
      <c r="I16" s="17">
        <f>IF(COUNT(F16,G16)&lt;2,"",F16+G16+H16)</f>
        <v/>
      </c>
      <c r="J16" s="17">
        <f>IF(COUNT(I16)=0,"",$F$4-I16)</f>
        <v/>
      </c>
      <c r="K16" s="16" t="n">
        <v>58</v>
      </c>
      <c r="L16" s="15" t="n">
        <v>2</v>
      </c>
      <c r="M16" s="18" t="inlineStr">
        <is>
          <t>24h LIVE</t>
        </is>
      </c>
      <c r="N16" s="16" t="inlineStr">
        <is>
          <t>Andre Santos CRECI 266.338-F</t>
        </is>
      </c>
      <c r="O16" s="16" t="inlineStr">
        <is>
          <t>(11) 5197-5901 / 98404-5901</t>
        </is>
      </c>
      <c r="P16" s="16" t="inlineStr">
        <is>
          <t>58m2, 2 dorm + suite, 2 vagas, 'portaria 24 horas com controle de acesso, sistema de seguranca'. R$90 over ceiling and plausibly negotiable - the agent suggested asking R$100 off the rent.</t>
        </is>
      </c>
    </row>
    <row r="17">
      <c r="A17" s="15" t="inlineStr">
        <is>
          <t>D2</t>
        </is>
      </c>
      <c r="B17" s="16" t="inlineStr">
        <is>
          <t>Vila Mazzei (north)</t>
        </is>
      </c>
      <c r="C17" s="16" t="inlineStr">
        <is>
          <t>L1-Azul</t>
        </is>
      </c>
      <c r="D17" s="16" t="inlineStr">
        <is>
          <t>Tucuruvi (15 min - FAILS walk rule) (15 min)</t>
        </is>
      </c>
      <c r="E17" s="16" t="inlineStr">
        <is>
          <t>(address withheld)</t>
        </is>
      </c>
      <c r="F17" s="17" t="n">
        <v>1390</v>
      </c>
      <c r="G17" s="17" t="n">
        <v>760</v>
      </c>
      <c r="H17" s="17" t="n">
        <v>120</v>
      </c>
      <c r="I17" s="17">
        <f>IF(COUNT(F17,G17)&lt;2,"",F17+G17+H17)</f>
        <v/>
      </c>
      <c r="J17" s="17">
        <f>IF(COUNT(I17)=0,"",$F$4-I17)</f>
        <v/>
      </c>
      <c r="K17" s="16" t="n">
        <v>50</v>
      </c>
      <c r="L17" s="15" t="n">
        <v>1</v>
      </c>
      <c r="M17" s="18" t="inlineStr">
        <is>
          <t>24h LIVE</t>
        </is>
      </c>
      <c r="N17" s="16" t="inlineStr">
        <is>
          <t>Bentolar Imoveis</t>
        </is>
      </c>
      <c r="O17" s="16" t="inlineStr">
        <is>
          <t>(11) 2691-2307</t>
        </is>
      </c>
      <c r="P17" s="16" t="inlineStr">
        <is>
          <t>50m2 + suite + portaria 24h + piscina/quadra at R$2,270. BUT: 15-min walk breaks the rule, AND the rent is anomalously low for the spec - could be a stale ad or bait. Verify before getting attached.</t>
        </is>
      </c>
    </row>
    <row r="18">
      <c r="A18" s="15" t="inlineStr">
        <is>
          <t>D3</t>
        </is>
      </c>
      <c r="B18" s="16" t="inlineStr">
        <is>
          <t>Vila Mazzei (north)</t>
        </is>
      </c>
      <c r="C18" s="16" t="inlineStr">
        <is>
          <t>L1-Azul</t>
        </is>
      </c>
      <c r="D18" s="16" t="inlineStr">
        <is>
          <t>Tucuruvi</t>
        </is>
      </c>
      <c r="E18" s="16" t="inlineStr">
        <is>
          <t>(address withheld)</t>
        </is>
      </c>
      <c r="F18" s="17" t="n">
        <v>2000</v>
      </c>
      <c r="G18" s="17" t="n">
        <v>620</v>
      </c>
      <c r="H18" s="17" t="n">
        <v>60</v>
      </c>
      <c r="I18" s="17">
        <f>IF(COUNT(F18,G18)&lt;2,"",F18+G18+H18)</f>
        <v/>
      </c>
      <c r="J18" s="17">
        <f>IF(COUNT(I18)=0,"",$F$4-I18)</f>
        <v/>
      </c>
      <c r="K18" s="16" t="n">
        <v>65</v>
      </c>
      <c r="L18" s="15" t="n">
        <v>1</v>
      </c>
      <c r="M18" s="18" t="inlineStr">
        <is>
          <t>24h LIVE</t>
        </is>
      </c>
      <c r="N18" s="16" t="inlineStr">
        <is>
          <t>Paulo Alonso</t>
        </is>
      </c>
      <c r="O18" s="16" t="inlineStr">
        <is>
          <t>(11) 94771-5420</t>
        </is>
      </c>
      <c r="P18" s="16" t="inlineStr">
        <is>
          <t>65m2 - real space - with confirmed portaria 24h + quadra/salao, at R$2,680. Distance to station not stated: ASK FIRST.</t>
        </is>
      </c>
    </row>
    <row r="19">
      <c r="A19" s="15" t="inlineStr">
        <is>
          <t>E0</t>
        </is>
      </c>
      <c r="B19" s="16" t="inlineStr">
        <is>
          <t>Penha</t>
        </is>
      </c>
      <c r="C19" s="16" t="inlineStr">
        <is>
          <t>L3-Vermelha</t>
        </is>
      </c>
      <c r="D19" s="16" t="inlineStr">
        <is>
          <t>Penha (walk UNCONFIRMED - ask)</t>
        </is>
      </c>
      <c r="E19" s="16" t="inlineStr">
        <is>
          <t>ref AP1040 - street address withheld, phone for it</t>
        </is>
      </c>
      <c r="F19" s="17" t="n">
        <v>2000</v>
      </c>
      <c r="G19" s="17" t="n">
        <v>500</v>
      </c>
      <c r="H19" s="17" t="n">
        <v>120</v>
      </c>
      <c r="I19" s="17">
        <f>IF(COUNT(F19,G19)&lt;2,"",F19+G19+H19)</f>
        <v/>
      </c>
      <c r="J19" s="17">
        <f>IF(COUNT(I19)=0,"",$F$4-I19)</f>
        <v/>
      </c>
      <c r="K19" s="16" t="n">
        <v>50</v>
      </c>
      <c r="L19" s="15" t="n">
        <v>1</v>
      </c>
      <c r="M19" s="18" t="inlineStr">
        <is>
          <t>24h LIVE</t>
        </is>
      </c>
      <c r="N19" s="16" t="inlineStr">
        <is>
          <t>Imobiliaria Sao Teodoro CRECI 22.659-J</t>
        </is>
      </c>
      <c r="O19" s="16" t="inlineStr">
        <is>
          <t>(11) 2501-5796 / 93100-9964</t>
        </is>
      </c>
      <c r="P19" s="16" t="inlineStr">
        <is>
          <t>The ONLY listing in the whole east zone hitting 2 quartos + portaria 24h + budget. 'Portaria 24 horas, elevador e seguranca' plus pool, gym, court, 1 covered space, 1 suite. Address withheld so the WALK is the one thing to confirm by phone. Also check the CEP - see the Penha trap.</t>
        </is>
      </c>
    </row>
    <row r="20">
      <c r="A20" s="15" t="inlineStr">
        <is>
          <t>E1</t>
        </is>
      </c>
      <c r="B20" s="16" t="inlineStr">
        <is>
          <t>Penha - CHECK THE CEP</t>
        </is>
      </c>
      <c r="C20" s="16" t="inlineStr">
        <is>
          <t>L3-Vermelha</t>
        </is>
      </c>
      <c r="D20" s="16" t="inlineStr">
        <is>
          <t>Penha</t>
        </is>
      </c>
      <c r="E20" s="16" t="inlineStr">
        <is>
          <t>(agency listing, portaria-24h filter)</t>
        </is>
      </c>
      <c r="F20" s="17" t="n">
        <v>2000</v>
      </c>
      <c r="G20" s="17" t="n">
        <v>500</v>
      </c>
      <c r="H20" s="17" t="n">
        <v>120</v>
      </c>
      <c r="I20" s="17">
        <f>IF(COUNT(F20,G20)&lt;2,"",F20+G20+H20)</f>
        <v/>
      </c>
      <c r="J20" s="17">
        <f>IF(COUNT(I20)=0,"",$F$4-I20)</f>
        <v/>
      </c>
      <c r="K20" s="16" t="n">
        <v>50</v>
      </c>
      <c r="L20" s="15" t="n"/>
      <c r="M20" s="18" t="inlineStr">
        <is>
          <t>24h LIVE</t>
        </is>
      </c>
      <c r="N20" s="16" t="inlineStr">
        <is>
          <t>zlimovel</t>
        </is>
      </c>
      <c r="O20" s="16" t="inlineStr">
        <is>
          <t>(see site)</t>
        </is>
      </c>
      <c r="P20" s="16" t="inlineStr">
        <is>
          <t>TWO units at this price. Deepest portaria-24h supply at budget anywhere. *** BUT Estacao Penha is administratively in the VILA MATILDE district (961 robberies/yr), NOT Penha de Franca. See the TRAPS tab before you view.</t>
        </is>
      </c>
    </row>
    <row r="21">
      <c r="A21" s="15" t="inlineStr">
        <is>
          <t>E2</t>
        </is>
      </c>
      <c r="B21" s="16" t="inlineStr">
        <is>
          <t>Penha - CHECK THE CEP</t>
        </is>
      </c>
      <c r="C21" s="16" t="inlineStr">
        <is>
          <t>L3-Vermelha</t>
        </is>
      </c>
      <c r="D21" s="16" t="inlineStr">
        <is>
          <t>Penha</t>
        </is>
      </c>
      <c r="E21" s="16" t="inlineStr">
        <is>
          <t>(agency listing, portaria-24h filter)</t>
        </is>
      </c>
      <c r="F21" s="17" t="n">
        <v>1799</v>
      </c>
      <c r="G21" s="17" t="n">
        <v>768</v>
      </c>
      <c r="H21" s="17" t="n">
        <v>120</v>
      </c>
      <c r="I21" s="17">
        <f>IF(COUNT(F21,G21)&lt;2,"",F21+G21+H21)</f>
        <v/>
      </c>
      <c r="J21" s="17">
        <f>IF(COUNT(I21)=0,"",$F$4-I21)</f>
        <v/>
      </c>
      <c r="K21" s="16" t="n">
        <v>54</v>
      </c>
      <c r="L21" s="15" t="n"/>
      <c r="M21" s="18" t="inlineStr">
        <is>
          <t>24h LIVE</t>
        </is>
      </c>
      <c r="N21" s="16" t="inlineStr">
        <is>
          <t>zlimovel</t>
        </is>
      </c>
      <c r="O21" s="16" t="inlineStr">
        <is>
          <t>(see site)</t>
        </is>
      </c>
      <c r="P21" s="16" t="inlineStr">
        <is>
          <t>54m2 + portaria 24h. Same CEP caveat.</t>
        </is>
      </c>
    </row>
    <row r="22">
      <c r="A22" s="15" t="inlineStr">
        <is>
          <t>E3</t>
        </is>
      </c>
      <c r="B22" s="16" t="inlineStr">
        <is>
          <t>Tatuape</t>
        </is>
      </c>
      <c r="C22" s="16" t="inlineStr">
        <is>
          <t>L3-Vermelha</t>
        </is>
      </c>
      <c r="D22" s="16" t="inlineStr">
        <is>
          <t>Tatuape</t>
        </is>
      </c>
      <c r="E22" s="16" t="inlineStr">
        <is>
          <t>Cond. Dosso del Liro</t>
        </is>
      </c>
      <c r="F22" s="17" t="n">
        <v>2200</v>
      </c>
      <c r="G22" s="17" t="n">
        <v>580</v>
      </c>
      <c r="H22" s="17" t="n">
        <v>120</v>
      </c>
      <c r="I22" s="17">
        <f>IF(COUNT(F22,G22)&lt;2,"",F22+G22+H22)</f>
        <v/>
      </c>
      <c r="J22" s="17">
        <f>IF(COUNT(I22)=0,"",$F$4-I22)</f>
        <v/>
      </c>
      <c r="K22" s="16" t="n">
        <v>48</v>
      </c>
      <c r="L22" s="15" t="n"/>
      <c r="M22" s="18" t="inlineStr">
        <is>
          <t>24h LIVE</t>
        </is>
      </c>
      <c r="N22" s="16" t="inlineStr">
        <is>
          <t>zlimovel</t>
        </is>
      </c>
      <c r="O22" s="16" t="inlineStr">
        <is>
          <t>(see site)</t>
        </is>
      </c>
      <c r="P22" s="16" t="inlineStr">
        <is>
          <t>The ONLY portaria-24h 2-dorm at budget in Tatuape.</t>
        </is>
      </c>
    </row>
    <row r="23">
      <c r="A23" s="15" t="inlineStr">
        <is>
          <t>F1</t>
        </is>
      </c>
      <c r="B23" s="16" t="inlineStr">
        <is>
          <t>Morumbi (Giovanni Gronchi side)</t>
        </is>
      </c>
      <c r="C23" s="16" t="inlineStr">
        <is>
          <t>NO metro walk</t>
        </is>
      </c>
      <c r="D23" s="16" t="inlineStr">
        <is>
          <t>200m Av. Giovanni Gronchi</t>
        </is>
      </c>
      <c r="E23" s="16" t="inlineStr">
        <is>
          <t>Rua Antonio Julio dos Santos</t>
        </is>
      </c>
      <c r="F23" s="17" t="n">
        <v>1600</v>
      </c>
      <c r="G23" s="17" t="n">
        <v>630</v>
      </c>
      <c r="H23" s="17" t="n">
        <v>107</v>
      </c>
      <c r="I23" s="17">
        <f>IF(COUNT(F23,G23)&lt;2,"",F23+G23+H23)</f>
        <v/>
      </c>
      <c r="J23" s="17">
        <f>IF(COUNT(I23)=0,"",$F$4-I23)</f>
        <v/>
      </c>
      <c r="K23" s="16" t="n">
        <v>50</v>
      </c>
      <c r="L23" s="15" t="n">
        <v>1</v>
      </c>
      <c r="M23" s="18" t="inlineStr">
        <is>
          <t>24h LIVE</t>
        </is>
      </c>
      <c r="N23" s="16" t="inlineStr">
        <is>
          <t>QuintoAndar via chavesnamao</t>
        </is>
      </c>
      <c r="O23" s="16" t="inlineStr">
        <is>
          <t>-</t>
        </is>
      </c>
      <c r="P23" s="16" t="inlineStr">
        <is>
          <t>50m2 + 'portaria 24h com acesso biometrico' at only R$2,337 - the best price/size/security combo in the entire harvest. It FAILS the walk rule (nowhere near a L4 station). Listed only because if a short bus were ever acceptable, this is the one.</t>
        </is>
      </c>
    </row>
    <row r="24">
      <c r="A24" s="15" t="inlineStr">
        <is>
          <t>G1</t>
        </is>
      </c>
      <c r="B24" s="16" t="inlineStr">
        <is>
          <t>Vila Buarque / Santa Cecilia</t>
        </is>
      </c>
      <c r="C24" s="16" t="inlineStr">
        <is>
          <t>L3/L4</t>
        </is>
      </c>
      <c r="D24" s="16" t="inlineStr">
        <is>
          <t>Santa Cecilia 7 min (7 min)</t>
        </is>
      </c>
      <c r="E24" s="16" t="inlineStr">
        <is>
          <t>Rua das Palmeiras</t>
        </is>
      </c>
      <c r="F24" s="17" t="n">
        <v>2200</v>
      </c>
      <c r="G24" s="17" t="n">
        <v>638</v>
      </c>
      <c r="H24" s="17" t="n">
        <v>120</v>
      </c>
      <c r="I24" s="17">
        <f>IF(COUNT(F24,G24)&lt;2,"",F24+G24+H24)</f>
        <v/>
      </c>
      <c r="J24" s="17">
        <f>IF(COUNT(I24)=0,"",$F$4-I24)</f>
        <v/>
      </c>
      <c r="K24" s="16" t="n">
        <v>44</v>
      </c>
      <c r="L24" s="15" t="n"/>
      <c r="M24" s="18" t="inlineStr">
        <is>
          <t>24h LIVE</t>
        </is>
      </c>
      <c r="N24" s="16" t="inlineStr">
        <is>
          <t>JPL Imoveis</t>
        </is>
      </c>
      <c r="O24" s="16" t="inlineStr">
        <is>
          <t>(see listing)</t>
        </is>
      </c>
      <c r="P24" s="16" t="inlineStr">
        <is>
          <t>Only confirmed portaria 24h near budget in the centre. Building is right; the WALK is the problem - it tracks toward the Cracolandia perimeter. Safe inside, questionable getting there. See TRAPS.</t>
        </is>
      </c>
    </row>
    <row r="26">
      <c r="A26" s="8" t="inlineStr">
        <is>
          <t>LISTING URLS (paste into a browser)</t>
        </is>
      </c>
    </row>
    <row r="27">
      <c r="A27" s="8" t="inlineStr">
        <is>
          <t>A1</t>
        </is>
      </c>
      <c r="B27" s="19" t="inlineStr">
        <is>
          <t>zoimovel.com.br/imovel/...64m2-lapa-zona-oeste-sao-paulo-sp/4457557/</t>
        </is>
      </c>
    </row>
    <row r="28">
      <c r="A28" s="8" t="inlineStr">
        <is>
          <t>A2</t>
        </is>
      </c>
      <c r="B28" s="19" t="inlineStr">
        <is>
          <t>zoimovel.com.br/imovel/...64m2-lapa-zona-oeste-sao-paulo-sp/4457540/</t>
        </is>
      </c>
    </row>
    <row r="29">
      <c r="A29" s="8" t="inlineStr">
        <is>
          <t>A3</t>
        </is>
      </c>
      <c r="B29" s="19" t="inlineStr">
        <is>
          <t>chavesnamao.com.br/imovel/.../id-45591955/</t>
        </is>
      </c>
    </row>
    <row r="30">
      <c r="A30" s="8" t="inlineStr">
        <is>
          <t>A4</t>
        </is>
      </c>
      <c r="B30" s="19" t="inlineStr">
        <is>
          <t>chavesnamao.com.br/imovel/.../id-46611659/</t>
        </is>
      </c>
    </row>
    <row r="31">
      <c r="A31" s="8" t="inlineStr">
        <is>
          <t>A5</t>
        </is>
      </c>
      <c r="B31" s="19" t="inlineStr">
        <is>
          <t>chavesnamao.com.br/imovel/.../id-33006676/</t>
        </is>
      </c>
    </row>
    <row r="32">
      <c r="A32" s="8" t="inlineStr">
        <is>
          <t>B1</t>
        </is>
      </c>
      <c r="B32" s="19" t="inlineStr">
        <is>
          <t>chavesnamao.com.br/imovel/...vila-sonia-31m2-RS1900/id-27669225/</t>
        </is>
      </c>
    </row>
    <row r="33">
      <c r="A33" s="8" t="inlineStr">
        <is>
          <t>B2</t>
        </is>
      </c>
      <c r="B33" s="19" t="inlineStr">
        <is>
          <t>butantaimoveis.com.br/imovel/apartamento-sao-paulo-2-quartos-56-m/AP4423-BUT</t>
        </is>
      </c>
    </row>
    <row r="34">
      <c r="A34" s="8" t="inlineStr">
        <is>
          <t>C1</t>
        </is>
      </c>
      <c r="B34" s="19" t="inlineStr">
        <is>
          <t>portalipiranga.com.br/imoveis/para-alugar</t>
        </is>
      </c>
    </row>
    <row r="35">
      <c r="A35" s="8" t="inlineStr">
        <is>
          <t>C2</t>
        </is>
      </c>
      <c r="B35" s="19" t="inlineStr">
        <is>
          <t>quintoandar.com.br/condominio/vivaz-socorro-socorro-sao-paulo-d47s47n28d</t>
        </is>
      </c>
    </row>
    <row r="36">
      <c r="A36" s="8" t="inlineStr">
        <is>
          <t>D1</t>
        </is>
      </c>
      <c r="B36" s="19" t="inlineStr">
        <is>
          <t>zsimovel.com.br/imovel/...58m2-jabaquara-zona-sul-sao-paulo-sp/4159981/</t>
        </is>
      </c>
    </row>
    <row r="37">
      <c r="A37" s="8" t="inlineStr">
        <is>
          <t>D2</t>
        </is>
      </c>
      <c r="B37" s="19" t="inlineStr">
        <is>
          <t>znimovel.com.br/imovel/.../4499534/</t>
        </is>
      </c>
    </row>
    <row r="38">
      <c r="A38" s="8" t="inlineStr">
        <is>
          <t>D3</t>
        </is>
      </c>
      <c r="B38" s="19" t="inlineStr">
        <is>
          <t>znimovel.com.br/imovel/.../3695955/</t>
        </is>
      </c>
    </row>
    <row r="39">
      <c r="A39" s="8" t="inlineStr">
        <is>
          <t>E0</t>
        </is>
      </c>
      <c r="B39" s="19" t="inlineStr">
        <is>
          <t>zlimovel.com.br/imovel/...50m2-penha-zona-leste-sao-paulo-sp/4518391/</t>
        </is>
      </c>
    </row>
    <row r="40">
      <c r="A40" s="8" t="inlineStr">
        <is>
          <t>E1</t>
        </is>
      </c>
      <c r="B40" s="19" t="inlineStr">
        <is>
          <t>zlimovel.com.br/imoveis-seo/alugar-apartamento-com-portaria-24-horas-penha-zona-leste-sao-paulo/</t>
        </is>
      </c>
    </row>
    <row r="41">
      <c r="A41" s="8" t="inlineStr">
        <is>
          <t>E2</t>
        </is>
      </c>
      <c r="B41" s="19" t="inlineStr">
        <is>
          <t>zlimovel.com.br/imoveis-seo/alugar-apartamento-com-portaria-24-horas-penha-zona-leste-sao-paulo/</t>
        </is>
      </c>
    </row>
    <row r="42">
      <c r="A42" s="8" t="inlineStr">
        <is>
          <t>E3</t>
        </is>
      </c>
      <c r="B42" s="19" t="inlineStr">
        <is>
          <t>zlimovel.com.br/imoveis-seo/aluguel-apartamentos-tatuape-2-dormitorios-zona-leste-sp/</t>
        </is>
      </c>
    </row>
    <row r="43">
      <c r="A43" s="8" t="inlineStr">
        <is>
          <t>F1</t>
        </is>
      </c>
      <c r="B43" s="19" t="inlineStr">
        <is>
          <t>chavesnamao.com.br/imovel/...morumbi-50m2-RS1600/id-44820564/</t>
        </is>
      </c>
    </row>
    <row r="44">
      <c r="A44" s="8" t="inlineStr">
        <is>
          <t>G1</t>
        </is>
      </c>
      <c r="B44" s="19" t="inlineStr">
        <is>
          <t>chavesnamao.com.br/imovel/...vila-buarque-44m2-RS2200/id-44510936/</t>
        </is>
      </c>
    </row>
    <row r="46">
      <c r="A46" s="7" t="inlineStr">
        <is>
          <t>'24h LIVE' means the listing explicitly states a 24-hour portaria. It does NOT prove a human is there - see the TRAPS tab on portaria virtual. Verify every one in person, after 22h.</t>
        </is>
      </c>
    </row>
  </sheetData>
  <autoFilter ref="A6:P24"/>
  <conditionalFormatting sqref="J7:J24">
    <cfRule type="cellIs" priority="1" operator="greaterThanOrEqual" dxfId="0">
      <formula>0</formula>
    </cfRule>
    <cfRule type="cellIs" priority="2" operator="lessThan" dxfId="1">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7"/>
  <sheetViews>
    <sheetView workbookViewId="0">
      <pane ySplit="10" topLeftCell="A11" activePane="bottomLeft" state="frozen"/>
      <selection pane="bottomLeft" activeCell="A1" sqref="A1"/>
    </sheetView>
  </sheetViews>
  <sheetFormatPr baseColWidth="8" defaultRowHeight="15"/>
  <cols>
    <col width="22" customWidth="1" min="1" max="1"/>
    <col width="22" customWidth="1" min="2" max="2"/>
    <col width="22" customWidth="1" min="3" max="3"/>
    <col width="7" customWidth="1" min="4" max="4"/>
    <col width="44" customWidth="1" min="5" max="5"/>
    <col width="9" customWidth="1" min="6" max="6"/>
    <col width="9" customWidth="1" min="7" max="7"/>
    <col width="8" customWidth="1" min="8" max="8"/>
    <col width="10" customWidth="1" min="9" max="9"/>
    <col width="9" customWidth="1" min="10" max="10"/>
    <col width="6" customWidth="1" min="11" max="11"/>
    <col width="8" customWidth="1" min="12" max="12"/>
    <col width="12" customWidth="1" min="13" max="13"/>
    <col width="6" customWidth="1" min="14" max="14"/>
    <col width="11" customWidth="1" min="15" max="15"/>
    <col width="22" customWidth="1" min="16" max="16"/>
    <col width="34" customWidth="1" min="17" max="17"/>
    <col width="84" customWidth="1" min="18" max="18"/>
  </cols>
  <sheetData>
    <row r="1">
      <c r="A1" s="6" t="inlineStr">
        <is>
          <t>EVERY LISTING FOUND</t>
        </is>
      </c>
    </row>
    <row r="2">
      <c r="A2" s="7" t="inlineStr">
        <is>
          <t>Includes over-budget rows on purpose, so you can see the market and know when a price is genuinely good. Use the filter arrows.</t>
        </is>
      </c>
    </row>
    <row r="4">
      <c r="A4" s="8" t="inlineStr">
        <is>
          <t>ASSUMPTION - IPTU per month when a listing does not state it (R$):</t>
        </is>
      </c>
      <c r="F4" s="9" t="n">
        <v>120</v>
      </c>
    </row>
    <row r="5">
      <c r="A5" s="8" t="inlineStr">
        <is>
          <t>YOUR BUDGET CEILING, all-in (R$):</t>
        </is>
      </c>
      <c r="F5" s="9" t="n">
        <v>2800</v>
      </c>
    </row>
    <row r="6">
      <c r="A6" s="8" t="inlineStr">
        <is>
          <t>'CLOSE' band - worth a call to negotiate, up to (R$):</t>
        </is>
      </c>
      <c r="F6" s="9" t="n">
        <v>3100</v>
      </c>
    </row>
    <row r="7">
      <c r="A7" s="8" t="inlineStr">
        <is>
          <t>Minimum m2 you accept as a REAL two-bedroom:</t>
        </is>
      </c>
      <c r="F7" s="9" t="n">
        <v>48</v>
      </c>
    </row>
    <row r="10">
      <c r="A10" s="10" t="inlineStr">
        <is>
          <t>Zone</t>
        </is>
      </c>
      <c r="B10" s="10" t="inlineStr">
        <is>
          <t>Metro line</t>
        </is>
      </c>
      <c r="C10" s="10" t="inlineStr">
        <is>
          <t>Station</t>
        </is>
      </c>
      <c r="D10" s="10" t="inlineStr">
        <is>
          <t>Walk min</t>
        </is>
      </c>
      <c r="E10" s="10" t="inlineStr">
        <is>
          <t>Address / building</t>
        </is>
      </c>
      <c r="F10" s="10" t="inlineStr">
        <is>
          <t>Rent</t>
        </is>
      </c>
      <c r="G10" s="10" t="inlineStr">
        <is>
          <t>Condo</t>
        </is>
      </c>
      <c r="H10" s="10" t="inlineStr">
        <is>
          <t>IPTU</t>
        </is>
      </c>
      <c r="I10" s="10" t="inlineStr">
        <is>
          <t>ALL-IN</t>
        </is>
      </c>
      <c r="J10" s="10" t="inlineStr">
        <is>
          <t>VERDICT</t>
        </is>
      </c>
      <c r="K10" s="10" t="inlineStr">
        <is>
          <t>m2</t>
        </is>
      </c>
      <c r="L10" s="10" t="inlineStr">
        <is>
          <t>m2 each</t>
        </is>
      </c>
      <c r="M10" s="10" t="inlineStr">
        <is>
          <t>Real 2-bed?</t>
        </is>
      </c>
      <c r="N10" s="10" t="inlineStr">
        <is>
          <t>Vaga</t>
        </is>
      </c>
      <c r="O10" s="10" t="inlineStr">
        <is>
          <t>PORTARIA</t>
        </is>
      </c>
      <c r="P10" s="10" t="inlineStr">
        <is>
          <t>Agency</t>
        </is>
      </c>
      <c r="Q10" s="10" t="inlineStr">
        <is>
          <t>Source / URL</t>
        </is>
      </c>
      <c r="R10" s="10" t="inlineStr">
        <is>
          <t>Notes and cautions</t>
        </is>
      </c>
    </row>
    <row r="11">
      <c r="A11" s="16" t="inlineStr">
        <is>
          <t>Lapa</t>
        </is>
      </c>
      <c r="B11" s="16" t="inlineStr">
        <is>
          <t>CPTM L7/L8 (+L3 hub nearby)</t>
        </is>
      </c>
      <c r="C11" s="16" t="inlineStr">
        <is>
          <t>Lapa</t>
        </is>
      </c>
      <c r="D11" s="15" t="n">
        <v>10</v>
      </c>
      <c r="E11" s="16" t="inlineStr">
        <is>
          <t>Cond. Margaridas, unit AL259 - 800m from Estacao Lapa</t>
        </is>
      </c>
      <c r="F11" s="17" t="n">
        <v>1660</v>
      </c>
      <c r="G11" s="17" t="n">
        <v>616</v>
      </c>
      <c r="H11" s="17" t="n">
        <v>120</v>
      </c>
      <c r="I11" s="17">
        <f>IF(COUNT(F11,G11)&lt;2,"",F11+G11+H11)</f>
        <v/>
      </c>
      <c r="J11" s="15">
        <f>IF(COUNT(I11)=0,"no price",IF(I11&lt;=$F$5,"FITS",IF(I11&lt;=$F$6,"CLOSE","OVER")))</f>
        <v/>
      </c>
      <c r="K11" s="16" t="n">
        <v>64</v>
      </c>
      <c r="L11" s="20">
        <f>IFERROR(K11/2,"")</f>
        <v/>
      </c>
      <c r="M11" s="15">
        <f>IF(COUNT(K11)=0,"?",IF(K11&gt;=$F$7,"YES",IF(K11&gt;=40,"TIGHT","NO")))</f>
        <v/>
      </c>
      <c r="N11" s="15" t="n">
        <v>1</v>
      </c>
      <c r="O11" s="18" t="inlineStr">
        <is>
          <t>24h LIVE</t>
        </is>
      </c>
      <c r="P11" s="16" t="inlineStr">
        <is>
          <t>Daniel Ruedas CRECI 66.710-F</t>
        </is>
      </c>
      <c r="Q11" s="16" t="inlineStr">
        <is>
          <t>zoimovel.com.br/imovel/...64m2-lapa-zona-oeste-sao-paulo-sp/4457557/</t>
        </is>
      </c>
      <c r="R11" s="16" t="inlineStr">
        <is>
          <t>[SHORTLIST A1] THE MATCH. Only listing found that hits ALL FOUR: under budget (R$404 spare), 64m2 of real space, CONFIRMED live portaria 24h + facial recognition, and a genuine sub-10-min station walk. Lapa gives network redundancy (L7/L8 + Barra Funda L3 hub). Price showed R$1,660 with a note it was previously R$1,700 - confirm. HONEST CAVEAT, added after the crime data came in: Lapa's robbery rate is 1,274/100k, essentially the same as the Itaim Bibi you are leaving (1,303). So this flat wins on the FLAT - space, a real doorman with facial recognition, price - not on the district. The doorman is doing the work here. Compare it against the Penha and Ipiranga options, which are in genuinely quieter districts.</t>
        </is>
      </c>
    </row>
    <row r="12">
      <c r="A12" s="16" t="inlineStr">
        <is>
          <t>Lapa</t>
        </is>
      </c>
      <c r="B12" s="16" t="inlineStr">
        <is>
          <t>CPTM L7/L8</t>
        </is>
      </c>
      <c r="C12" s="16" t="inlineStr">
        <is>
          <t>Lapa</t>
        </is>
      </c>
      <c r="D12" s="15" t="n">
        <v>10</v>
      </c>
      <c r="E12" s="16" t="inlineStr">
        <is>
          <t>Cond. Margaridas, unit AL258 - same building</t>
        </is>
      </c>
      <c r="F12" s="17" t="n">
        <v>1850</v>
      </c>
      <c r="G12" s="17" t="n">
        <v>616</v>
      </c>
      <c r="H12" s="17" t="n">
        <v>120</v>
      </c>
      <c r="I12" s="17">
        <f>IF(COUNT(F12,G12)&lt;2,"",F12+G12+H12)</f>
        <v/>
      </c>
      <c r="J12" s="15">
        <f>IF(COUNT(I12)=0,"no price",IF(I12&lt;=$F$5,"FITS",IF(I12&lt;=$F$6,"CLOSE","OVER")))</f>
        <v/>
      </c>
      <c r="K12" s="16" t="n">
        <v>64</v>
      </c>
      <c r="L12" s="20">
        <f>IFERROR(K12/2,"")</f>
        <v/>
      </c>
      <c r="M12" s="15">
        <f>IF(COUNT(K12)=0,"?",IF(K12&gt;=$F$7,"YES",IF(K12&gt;=40,"TIGHT","NO")))</f>
        <v/>
      </c>
      <c r="N12" s="15" t="n">
        <v>1</v>
      </c>
      <c r="O12" s="18" t="inlineStr">
        <is>
          <t>24h LIVE</t>
        </is>
      </c>
      <c r="P12" s="16" t="inlineStr">
        <is>
          <t>Daniel Ruedas CRECI 66.710-F</t>
        </is>
      </c>
      <c r="Q12" s="16" t="inlineStr">
        <is>
          <t>zoimovel.com.br/imovel/...64m2-lapa-zona-oeste-sao-paulo-sp/4457540/</t>
        </is>
      </c>
      <c r="R12" s="16" t="inlineStr">
        <is>
          <t>[SHORTLIST A2] Sister unit in the SAME building. Two vacancies in one block materially raises the odds one is still free. Call about both.</t>
        </is>
      </c>
    </row>
    <row r="13">
      <c r="A13" s="16" t="inlineStr">
        <is>
          <t>Vila Prel (Campo Limpo)</t>
        </is>
      </c>
      <c r="B13" s="16" t="inlineStr">
        <is>
          <t>L5-Lilas</t>
        </is>
      </c>
      <c r="C13" s="16" t="inlineStr">
        <is>
          <t>Campo Limpo (5.7 min VERIFIED)</t>
        </is>
      </c>
      <c r="D13" s="15" t="n">
        <v>6</v>
      </c>
      <c r="E13" s="16" t="inlineStr">
        <is>
          <t>Estrada de Itapecerica, 2736 - beside Shopping Campo Limpo</t>
        </is>
      </c>
      <c r="F13" s="17" t="n">
        <v>2500</v>
      </c>
      <c r="G13" s="17" t="n">
        <v>0</v>
      </c>
      <c r="H13" s="17" t="n">
        <v>120</v>
      </c>
      <c r="I13" s="17">
        <f>IF(COUNT(F13,G13)&lt;2,"",F13+G13+H13)</f>
        <v/>
      </c>
      <c r="J13" s="15">
        <f>IF(COUNT(I13)=0,"no price",IF(I13&lt;=$F$5,"FITS",IF(I13&lt;=$F$6,"CLOSE","OVER")))</f>
        <v/>
      </c>
      <c r="K13" s="16" t="n">
        <v>54</v>
      </c>
      <c r="L13" s="20">
        <f>IFERROR(K13/2,"")</f>
        <v/>
      </c>
      <c r="M13" s="15">
        <f>IF(COUNT(K13)=0,"?",IF(K13&gt;=$F$7,"YES",IF(K13&gt;=40,"TIGHT","NO")))</f>
        <v/>
      </c>
      <c r="N13" s="15" t="n">
        <v>1</v>
      </c>
      <c r="O13" s="18" t="inlineStr">
        <is>
          <t>24h LIVE</t>
        </is>
      </c>
      <c r="P13" s="16" t="inlineStr">
        <is>
          <t>Carreira Amorim</t>
        </is>
      </c>
      <c r="Q13" s="16" t="inlineStr">
        <is>
          <t>chavesnamao.com.br/imovel/.../id-45591955/</t>
        </is>
      </c>
      <c r="R13" s="16" t="inlineStr">
        <is>
          <t>[SHORTLIST A3] CO-LEADER. R$2,500 is a PACKAGE INCLUDING condominio. 54 m2, two amplos dormitorios, 1 vaga, and the only listing in its corridor advertising 'Portaria 24 horas' AND a GUARITA (a physical gatehouse) - the strongest doorman evidence found anywhere. Walk time is a REAL pedestrian route (OSRM), not an estimate: 5.7 min. Vila Prel is the calmest pocket in its district (144th of 1,249). A second identical unit at 2736-A, 7.1 min walk, same price.</t>
        </is>
      </c>
    </row>
    <row r="14">
      <c r="A14" s="16" t="inlineStr">
        <is>
          <t>Pq. Maria Helena (Capao Redondo)</t>
        </is>
      </c>
      <c r="B14" s="16" t="inlineStr">
        <is>
          <t>L5-Lilas</t>
        </is>
      </c>
      <c r="C14" s="16" t="inlineStr">
        <is>
          <t>Capao Redondo (8.2 min VERIFIED)</t>
        </is>
      </c>
      <c r="D14" s="15" t="n">
        <v>8</v>
      </c>
      <c r="E14" s="16" t="inlineStr">
        <is>
          <t>Rua Cabo Estacio da Conceicao, 590</t>
        </is>
      </c>
      <c r="F14" s="17" t="n">
        <v>1800</v>
      </c>
      <c r="G14" s="17" t="n">
        <v>279</v>
      </c>
      <c r="H14" s="17" t="n">
        <v>120</v>
      </c>
      <c r="I14" s="17">
        <f>IF(COUNT(F14,G14)&lt;2,"",F14+G14+H14)</f>
        <v/>
      </c>
      <c r="J14" s="15">
        <f>IF(COUNT(I14)=0,"no price",IF(I14&lt;=$F$5,"FITS",IF(I14&lt;=$F$6,"CLOSE","OVER")))</f>
        <v/>
      </c>
      <c r="K14" s="16" t="n">
        <v>42</v>
      </c>
      <c r="L14" s="20">
        <f>IFERROR(K14/2,"")</f>
        <v/>
      </c>
      <c r="M14" s="15">
        <f>IF(COUNT(K14)=0,"?",IF(K14&gt;=$F$7,"YES",IF(K14&gt;=40,"TIGHT","NO")))</f>
        <v/>
      </c>
      <c r="N14" s="15" t="n">
        <v>0</v>
      </c>
      <c r="O14" s="18" t="inlineStr">
        <is>
          <t>24h LIVE</t>
        </is>
      </c>
      <c r="P14" s="16" t="inlineStr">
        <is>
          <t>Lopes &amp; Silva</t>
        </is>
      </c>
      <c r="Q14" s="16" t="inlineStr">
        <is>
          <t>chavesnamao.com.br/imovel/.../id-46611659/</t>
        </is>
      </c>
      <c r="R14" s="16" t="inlineStr">
        <is>
          <t>[SHORTLIST A4] THE BUDGET STANDOUT at R$2,199 all-in - R$600 under your ceiling. Condominio of only R$279 buys piscina, academia, quadra, salao de festas, brinquedoteca, elevador AND advertised portaria 24h. Proof that dense compact towers deliver staffed lobbies cheaply. 42 m2 is stated in the advert body only, so confirm it. Walk verified by real routing.</t>
        </is>
      </c>
    </row>
    <row r="15">
      <c r="A15" s="16" t="inlineStr">
        <is>
          <t>Horto do Ipe (Capao Redondo)</t>
        </is>
      </c>
      <c r="B15" s="16" t="inlineStr">
        <is>
          <t>L5-Lilas</t>
        </is>
      </c>
      <c r="C15" s="16" t="inlineStr">
        <is>
          <t>Capao Redondo (10.0 min VERIFIED)</t>
        </is>
      </c>
      <c r="D15" s="15" t="n">
        <v>10</v>
      </c>
      <c r="E15" s="16" t="inlineStr">
        <is>
          <t>Rua Eng.a Amalia Perola Cassab, 415</t>
        </is>
      </c>
      <c r="F15" s="17" t="n">
        <v>1250</v>
      </c>
      <c r="G15" s="17" t="n">
        <v>552</v>
      </c>
      <c r="H15" s="17" t="n">
        <v>120</v>
      </c>
      <c r="I15" s="17">
        <f>IF(COUNT(F15,G15)&lt;2,"",F15+G15+H15)</f>
        <v/>
      </c>
      <c r="J15" s="15">
        <f>IF(COUNT(I15)=0,"no price",IF(I15&lt;=$F$5,"FITS",IF(I15&lt;=$F$6,"CLOSE","OVER")))</f>
        <v/>
      </c>
      <c r="K15" s="16" t="n">
        <v>55</v>
      </c>
      <c r="L15" s="20">
        <f>IFERROR(K15/2,"")</f>
        <v/>
      </c>
      <c r="M15" s="15">
        <f>IF(COUNT(K15)=0,"?",IF(K15&gt;=$F$7,"YES",IF(K15&gt;=40,"TIGHT","NO")))</f>
        <v/>
      </c>
      <c r="N15" s="15" t="n">
        <v>1</v>
      </c>
      <c r="O15" s="18" t="inlineStr">
        <is>
          <t>24h LIVE</t>
        </is>
      </c>
      <c r="P15" s="16" t="inlineStr">
        <is>
          <t>Larissa Oliveira</t>
        </is>
      </c>
      <c r="Q15" s="16" t="inlineStr">
        <is>
          <t>chavesnamao.com.br/imovel/.../id-33006676/</t>
        </is>
      </c>
      <c r="R15" s="16" t="inlineStr">
        <is>
          <t>[SHORTLIST A5] 55 m2 WITH a vaga and advertised portaria 24h for R$1,922 all-in - the best space-plus-doorman-per-real found in the entire search. Walk verified at 10.0 min, right on your limit. Listing ID is old, so verify it is still live before getting attached. A second unit in the same building at R$2,020 all-in, 45 m2.</t>
        </is>
      </c>
    </row>
    <row r="16">
      <c r="A16" s="16" t="inlineStr">
        <is>
          <t>Vila Sonia</t>
        </is>
      </c>
      <c r="B16" s="16" t="inlineStr">
        <is>
          <t>L4-Amarela</t>
        </is>
      </c>
      <c r="C16" s="16" t="inlineStr">
        <is>
          <t>Vila Sonia</t>
        </is>
      </c>
      <c r="D16" s="15" t="n">
        <v>8</v>
      </c>
      <c r="E16" s="16" t="inlineStr">
        <is>
          <t>Rua Dias Vieira</t>
        </is>
      </c>
      <c r="F16" s="17" t="n">
        <v>1900</v>
      </c>
      <c r="G16" s="17" t="n">
        <v>470</v>
      </c>
      <c r="H16" s="17" t="n">
        <v>120</v>
      </c>
      <c r="I16" s="17">
        <f>IF(COUNT(F16,G16)&lt;2,"",F16+G16+H16)</f>
        <v/>
      </c>
      <c r="J16" s="15">
        <f>IF(COUNT(I16)=0,"no price",IF(I16&lt;=$F$5,"FITS",IF(I16&lt;=$F$6,"CLOSE","OVER")))</f>
        <v/>
      </c>
      <c r="K16" s="16" t="n">
        <v>31</v>
      </c>
      <c r="L16" s="20">
        <f>IFERROR(K16/2,"")</f>
        <v/>
      </c>
      <c r="M16" s="15">
        <f>IF(COUNT(K16)=0,"?",IF(K16&gt;=$F$7,"YES",IF(K16&gt;=40,"TIGHT","NO")))</f>
        <v/>
      </c>
      <c r="N16" s="15" t="n"/>
      <c r="O16" s="18" t="inlineStr">
        <is>
          <t>24h LIVE</t>
        </is>
      </c>
      <c r="P16" s="16" t="inlineStr">
        <is>
          <t>ABIATAR IMOVEIS</t>
        </is>
      </c>
      <c r="Q16" s="16" t="inlineStr">
        <is>
          <t>chavesnamao.com.br/imovel/...vila-sonia-31m2-RS1900/id-27669225/</t>
        </is>
      </c>
      <c r="R16" s="16" t="inlineStr">
        <is>
          <t>[SHORTLIST B1] BEST COMMUTE IN THE WHOLE SEARCH: 6 min to Pinheiros, 8 to Faria Lima, 12 to Oscar Freire. Vila Sonia's robbery rate is 533/100k - well under half Itaim Bibi's 1,303. CAVEAT: Linha 4 is NOT in the Saturday all-night programme, so there is no late train home any night of the week. Listing states 'Portaria 24 horas', 'Seguranca 24h', 'Reconhecimento facial na portaria', CFTV. Walk time QUOTED in the ad: 8 min. The catch is 31m2 - genuinely small for two.</t>
        </is>
      </c>
    </row>
    <row r="17">
      <c r="A17" s="16" t="inlineStr">
        <is>
          <t>Butanta</t>
        </is>
      </c>
      <c r="B17" s="16" t="inlineStr">
        <is>
          <t>L4-Amarela</t>
        </is>
      </c>
      <c r="C17" s="16" t="inlineStr">
        <is>
          <t>Butanta (BUS, not walk)</t>
        </is>
      </c>
      <c r="D17" s="15" t="n"/>
      <c r="E17" s="16" t="inlineStr">
        <is>
          <t>ref AP4423-BUT - street address withheld, phone for it</t>
        </is>
      </c>
      <c r="F17" s="17" t="n">
        <v>1850</v>
      </c>
      <c r="G17" s="17" t="n">
        <v>556</v>
      </c>
      <c r="H17" s="17" t="n">
        <v>120</v>
      </c>
      <c r="I17" s="17">
        <f>IF(COUNT(F17,G17)&lt;2,"",F17+G17+H17)</f>
        <v/>
      </c>
      <c r="J17" s="15">
        <f>IF(COUNT(I17)=0,"no price",IF(I17&lt;=$F$5,"FITS",IF(I17&lt;=$F$6,"CLOSE","OVER")))</f>
        <v/>
      </c>
      <c r="K17" s="16" t="n">
        <v>56</v>
      </c>
      <c r="L17" s="20">
        <f>IFERROR(K17/2,"")</f>
        <v/>
      </c>
      <c r="M17" s="15">
        <f>IF(COUNT(K17)=0,"?",IF(K17&gt;=$F$7,"YES",IF(K17&gt;=40,"TIGHT","NO")))</f>
        <v/>
      </c>
      <c r="N17" s="15" t="n">
        <v>1</v>
      </c>
      <c r="O17" s="18" t="inlineStr">
        <is>
          <t>24h LIVE</t>
        </is>
      </c>
      <c r="P17" s="16" t="inlineStr">
        <is>
          <t>Butanta Imoveis</t>
        </is>
      </c>
      <c r="Q17" s="16" t="inlineStr">
        <is>
          <t>butantaimoveis.com.br/imovel/apartamento-sao-paulo-2-quartos-56-m/AP4423-BUT</t>
        </is>
      </c>
      <c r="R17" s="16" t="inlineStr">
        <is>
          <t>[SHORTLIST B2] 56m2 + 1 vaga + 'Portaria com seguranca 24 horas' + piscina/quadra at R$2,526 all-in is the best size-to-price-with-doorman found. BUT the ad says 'ponto de onibus em frente' - a BUS to Butanta metro, not a walk. Fails the 10-min rule unless a short bus is acceptable.</t>
        </is>
      </c>
    </row>
    <row r="18">
      <c r="A18" s="16" t="inlineStr">
        <is>
          <t>Alto do Ipiranga</t>
        </is>
      </c>
      <c r="B18" s="16" t="inlineStr">
        <is>
          <t>L2-Verde</t>
        </is>
      </c>
      <c r="C18" s="16" t="inlineStr">
        <is>
          <t>Alto do Ipiranga</t>
        </is>
      </c>
      <c r="D18" s="15" t="n"/>
      <c r="E18" s="16" t="inlineStr">
        <is>
          <t>Portal Ipiranga ref AP4828</t>
        </is>
      </c>
      <c r="F18" s="17" t="n">
        <v>2000</v>
      </c>
      <c r="G18" s="17" t="n">
        <v>650</v>
      </c>
      <c r="H18" s="17" t="n">
        <v>69</v>
      </c>
      <c r="I18" s="17">
        <f>IF(COUNT(F18,G18)&lt;2,"",F18+G18+H18)</f>
        <v/>
      </c>
      <c r="J18" s="15">
        <f>IF(COUNT(I18)=0,"no price",IF(I18&lt;=$F$5,"FITS",IF(I18&lt;=$F$6,"CLOSE","OVER")))</f>
        <v/>
      </c>
      <c r="K18" s="16" t="n">
        <v>50</v>
      </c>
      <c r="L18" s="20">
        <f>IFERROR(K18/2,"")</f>
        <v/>
      </c>
      <c r="M18" s="15">
        <f>IF(COUNT(K18)=0,"?",IF(K18&gt;=$F$7,"YES",IF(K18&gt;=40,"TIGHT","NO")))</f>
        <v/>
      </c>
      <c r="N18" s="15" t="n"/>
      <c r="O18" s="18" t="inlineStr">
        <is>
          <t>24h LIVE</t>
        </is>
      </c>
      <c r="P18" s="16" t="inlineStr">
        <is>
          <t>Portal Ipiranga</t>
        </is>
      </c>
      <c r="Q18" s="16" t="inlineStr">
        <is>
          <t>portalipiranga.com.br/imoveis/para-alugar</t>
        </is>
      </c>
      <c r="R18" s="16" t="inlineStr">
        <is>
          <t>[SHORTLIST C1] 50m2 + portaria 24h + IPTU actually disclosed on the invoice. L2-Verde stops INSIDE the Jardins (Brigadeiro/Trianon-Masp/Consolacao) so it is ~30 min to castings with NO TRANSFER. District: 74% of residents feel safe, 88% well-lit (n=83).</t>
        </is>
      </c>
    </row>
    <row r="19">
      <c r="A19" s="16" t="inlineStr">
        <is>
          <t>Socorro</t>
        </is>
      </c>
      <c r="B19" s="16" t="inlineStr">
        <is>
          <t>CPTM L9 + Metro L5 fallback</t>
        </is>
      </c>
      <c r="C19" s="16" t="inlineStr">
        <is>
          <t>Socorro 6 min / Santo Amaro 8 min</t>
        </is>
      </c>
      <c r="D19" s="15" t="n">
        <v>6</v>
      </c>
      <c r="E19" s="16" t="inlineStr">
        <is>
          <t>Cond. Vivaz Socorro, Rua Aimores 80</t>
        </is>
      </c>
      <c r="F19" s="17" t="n">
        <v>1620</v>
      </c>
      <c r="G19" s="17" t="n">
        <v>350</v>
      </c>
      <c r="H19" s="17" t="n">
        <v>35</v>
      </c>
      <c r="I19" s="17">
        <f>IF(COUNT(F19,G19)&lt;2,"",F19+G19+H19)</f>
        <v/>
      </c>
      <c r="J19" s="15">
        <f>IF(COUNT(I19)=0,"no price",IF(I19&lt;=$F$5,"FITS",IF(I19&lt;=$F$6,"CLOSE","OVER")))</f>
        <v/>
      </c>
      <c r="K19" s="16" t="n">
        <v>31</v>
      </c>
      <c r="L19" s="20">
        <f>IFERROR(K19/2,"")</f>
        <v/>
      </c>
      <c r="M19" s="15">
        <f>IF(COUNT(K19)=0,"?",IF(K19&gt;=$F$7,"YES",IF(K19&gt;=40,"TIGHT","NO")))</f>
        <v/>
      </c>
      <c r="N19" s="15" t="n">
        <v>1</v>
      </c>
      <c r="O19" s="18" t="inlineStr">
        <is>
          <t>24h LIVE</t>
        </is>
      </c>
      <c r="P19" s="16" t="inlineStr">
        <is>
          <t>(31 units listed)</t>
        </is>
      </c>
      <c r="Q19" s="16" t="inlineStr">
        <is>
          <t>quintoandar.com.br/condominio/vivaz-socorro-socorro-sao-paulo-d47s47n28d</t>
        </is>
      </c>
      <c r="R19" s="16" t="inlineStr">
        <is>
          <t>[SHORTLIST C2] Condo only R$350 and IPTU R$35 - the cheapest running costs found anywhere WITH a portaria 24h. ACADEMIA + pool included (saves ~R$240/mo in two gym memberships). 31 units listed, sizes 31-59m2 - INSIST on a 50m2+ one. TWO stations = a Linha 9 failure does not strand them. CAVEAT: Socorro is the #1 district in the CITY for RISING phone robbery (+41%).</t>
        </is>
      </c>
    </row>
    <row r="20">
      <c r="A20" s="16" t="inlineStr">
        <is>
          <t>Jabaquara</t>
        </is>
      </c>
      <c r="B20" s="16" t="inlineStr">
        <is>
          <t>L1-Azul</t>
        </is>
      </c>
      <c r="C20" s="16" t="inlineStr">
        <is>
          <t>Conceicao / Jabaquara</t>
        </is>
      </c>
      <c r="D20" s="15" t="n"/>
      <c r="E20" s="16" t="inlineStr">
        <is>
          <t>Rua Taquarucu</t>
        </is>
      </c>
      <c r="F20" s="17" t="n">
        <v>2000</v>
      </c>
      <c r="G20" s="17" t="n">
        <v>831</v>
      </c>
      <c r="H20" s="17" t="n">
        <v>59</v>
      </c>
      <c r="I20" s="17">
        <f>IF(COUNT(F20,G20)&lt;2,"",F20+G20+H20)</f>
        <v/>
      </c>
      <c r="J20" s="15">
        <f>IF(COUNT(I20)=0,"no price",IF(I20&lt;=$F$5,"FITS",IF(I20&lt;=$F$6,"CLOSE","OVER")))</f>
        <v/>
      </c>
      <c r="K20" s="16" t="n">
        <v>58</v>
      </c>
      <c r="L20" s="20">
        <f>IFERROR(K20/2,"")</f>
        <v/>
      </c>
      <c r="M20" s="15">
        <f>IF(COUNT(K20)=0,"?",IF(K20&gt;=$F$7,"YES",IF(K20&gt;=40,"TIGHT","NO")))</f>
        <v/>
      </c>
      <c r="N20" s="15" t="n">
        <v>2</v>
      </c>
      <c r="O20" s="18" t="inlineStr">
        <is>
          <t>24h LIVE</t>
        </is>
      </c>
      <c r="P20" s="16" t="inlineStr">
        <is>
          <t>Andre Santos CRECI 266.338-F</t>
        </is>
      </c>
      <c r="Q20" s="16" t="inlineStr">
        <is>
          <t>zsimovel.com.br/imovel/...58m2-jabaquara-zona-sul-sao-paulo-sp/4159981/</t>
        </is>
      </c>
      <c r="R20" s="16" t="inlineStr">
        <is>
          <t>[SHORTLIST D1] 58m2, 2 dorm + suite, 2 vagas, 'portaria 24 horas com controle de acesso, sistema de seguranca'. R$90 over ceiling and plausibly negotiable - the agent suggested asking R$100 off the rent.</t>
        </is>
      </c>
    </row>
    <row r="21">
      <c r="A21" s="16" t="inlineStr">
        <is>
          <t>Vila Mazzei (north)</t>
        </is>
      </c>
      <c r="B21" s="16" t="inlineStr">
        <is>
          <t>L1-Azul</t>
        </is>
      </c>
      <c r="C21" s="16" t="inlineStr">
        <is>
          <t>Tucuruvi (15 min - FAILS walk rule)</t>
        </is>
      </c>
      <c r="D21" s="15" t="n">
        <v>15</v>
      </c>
      <c r="E21" s="16" t="inlineStr">
        <is>
          <t>(address withheld)</t>
        </is>
      </c>
      <c r="F21" s="17" t="n">
        <v>1390</v>
      </c>
      <c r="G21" s="17" t="n">
        <v>760</v>
      </c>
      <c r="H21" s="17" t="n">
        <v>120</v>
      </c>
      <c r="I21" s="17">
        <f>IF(COUNT(F21,G21)&lt;2,"",F21+G21+H21)</f>
        <v/>
      </c>
      <c r="J21" s="15">
        <f>IF(COUNT(I21)=0,"no price",IF(I21&lt;=$F$5,"FITS",IF(I21&lt;=$F$6,"CLOSE","OVER")))</f>
        <v/>
      </c>
      <c r="K21" s="16" t="n">
        <v>50</v>
      </c>
      <c r="L21" s="20">
        <f>IFERROR(K21/2,"")</f>
        <v/>
      </c>
      <c r="M21" s="15">
        <f>IF(COUNT(K21)=0,"?",IF(K21&gt;=$F$7,"YES",IF(K21&gt;=40,"TIGHT","NO")))</f>
        <v/>
      </c>
      <c r="N21" s="15" t="n">
        <v>1</v>
      </c>
      <c r="O21" s="18" t="inlineStr">
        <is>
          <t>24h LIVE</t>
        </is>
      </c>
      <c r="P21" s="16" t="inlineStr">
        <is>
          <t>Bentolar Imoveis</t>
        </is>
      </c>
      <c r="Q21" s="16" t="inlineStr">
        <is>
          <t>znimovel.com.br/imovel/.../4499534/</t>
        </is>
      </c>
      <c r="R21" s="16" t="inlineStr">
        <is>
          <t>[SHORTLIST D2] 50m2 + suite + portaria 24h + piscina/quadra at R$2,270. BUT: 15-min walk breaks the rule, AND the rent is anomalously low for the spec - could be a stale ad or bait. Verify before getting attached.</t>
        </is>
      </c>
    </row>
    <row r="22">
      <c r="A22" s="16" t="inlineStr">
        <is>
          <t>Vila Mazzei (north)</t>
        </is>
      </c>
      <c r="B22" s="16" t="inlineStr">
        <is>
          <t>L1-Azul</t>
        </is>
      </c>
      <c r="C22" s="16" t="inlineStr">
        <is>
          <t>Tucuruvi</t>
        </is>
      </c>
      <c r="D22" s="15" t="n"/>
      <c r="E22" s="16" t="inlineStr">
        <is>
          <t>(address withheld)</t>
        </is>
      </c>
      <c r="F22" s="17" t="n">
        <v>2000</v>
      </c>
      <c r="G22" s="17" t="n">
        <v>620</v>
      </c>
      <c r="H22" s="17" t="n">
        <v>60</v>
      </c>
      <c r="I22" s="17">
        <f>IF(COUNT(F22,G22)&lt;2,"",F22+G22+H22)</f>
        <v/>
      </c>
      <c r="J22" s="15">
        <f>IF(COUNT(I22)=0,"no price",IF(I22&lt;=$F$5,"FITS",IF(I22&lt;=$F$6,"CLOSE","OVER")))</f>
        <v/>
      </c>
      <c r="K22" s="16" t="n">
        <v>65</v>
      </c>
      <c r="L22" s="20">
        <f>IFERROR(K22/2,"")</f>
        <v/>
      </c>
      <c r="M22" s="15">
        <f>IF(COUNT(K22)=0,"?",IF(K22&gt;=$F$7,"YES",IF(K22&gt;=40,"TIGHT","NO")))</f>
        <v/>
      </c>
      <c r="N22" s="15" t="n">
        <v>1</v>
      </c>
      <c r="O22" s="18" t="inlineStr">
        <is>
          <t>24h LIVE</t>
        </is>
      </c>
      <c r="P22" s="16" t="inlineStr">
        <is>
          <t>Paulo Alonso</t>
        </is>
      </c>
      <c r="Q22" s="16" t="inlineStr">
        <is>
          <t>znimovel.com.br/imovel/.../3695955/</t>
        </is>
      </c>
      <c r="R22" s="16" t="inlineStr">
        <is>
          <t>[SHORTLIST D3] 65m2 - real space - with confirmed portaria 24h + quadra/salao, at R$2,680. Distance to station not stated: ASK FIRST.</t>
        </is>
      </c>
    </row>
    <row r="23">
      <c r="A23" s="16" t="inlineStr">
        <is>
          <t>Penha</t>
        </is>
      </c>
      <c r="B23" s="16" t="inlineStr">
        <is>
          <t>L3-Vermelha</t>
        </is>
      </c>
      <c r="C23" s="16" t="inlineStr">
        <is>
          <t>Penha (walk UNCONFIRMED - ask)</t>
        </is>
      </c>
      <c r="D23" s="15" t="n"/>
      <c r="E23" s="16" t="inlineStr">
        <is>
          <t>ref AP1040 - street address withheld, phone for it</t>
        </is>
      </c>
      <c r="F23" s="17" t="n">
        <v>2000</v>
      </c>
      <c r="G23" s="17" t="n">
        <v>500</v>
      </c>
      <c r="H23" s="17" t="n">
        <v>120</v>
      </c>
      <c r="I23" s="17">
        <f>IF(COUNT(F23,G23)&lt;2,"",F23+G23+H23)</f>
        <v/>
      </c>
      <c r="J23" s="15">
        <f>IF(COUNT(I23)=0,"no price",IF(I23&lt;=$F$5,"FITS",IF(I23&lt;=$F$6,"CLOSE","OVER")))</f>
        <v/>
      </c>
      <c r="K23" s="16" t="n">
        <v>50</v>
      </c>
      <c r="L23" s="20">
        <f>IFERROR(K23/2,"")</f>
        <v/>
      </c>
      <c r="M23" s="15">
        <f>IF(COUNT(K23)=0,"?",IF(K23&gt;=$F$7,"YES",IF(K23&gt;=40,"TIGHT","NO")))</f>
        <v/>
      </c>
      <c r="N23" s="15" t="n">
        <v>1</v>
      </c>
      <c r="O23" s="18" t="inlineStr">
        <is>
          <t>24h LIVE</t>
        </is>
      </c>
      <c r="P23" s="16" t="inlineStr">
        <is>
          <t>Imobiliaria Sao Teodoro CRECI 22.659-J</t>
        </is>
      </c>
      <c r="Q23" s="16" t="inlineStr">
        <is>
          <t>zlimovel.com.br/imovel/...50m2-penha-zona-leste-sao-paulo-sp/4518391/</t>
        </is>
      </c>
      <c r="R23" s="16" t="inlineStr">
        <is>
          <t>[SHORTLIST E0] The ONLY listing in the whole east zone hitting 2 quartos + portaria 24h + budget. 'Portaria 24 horas, elevador e seguranca' plus pool, gym, court, 1 covered space, 1 suite. Address withheld so the WALK is the one thing to confirm by phone. Also check the CEP - see the Penha trap.</t>
        </is>
      </c>
    </row>
    <row r="24">
      <c r="A24" s="16" t="inlineStr">
        <is>
          <t>Penha - CHECK THE CEP</t>
        </is>
      </c>
      <c r="B24" s="16" t="inlineStr">
        <is>
          <t>L3-Vermelha</t>
        </is>
      </c>
      <c r="C24" s="16" t="inlineStr">
        <is>
          <t>Penha</t>
        </is>
      </c>
      <c r="D24" s="15" t="n"/>
      <c r="E24" s="16" t="inlineStr">
        <is>
          <t>(agency listing, portaria-24h filter)</t>
        </is>
      </c>
      <c r="F24" s="17" t="n">
        <v>2000</v>
      </c>
      <c r="G24" s="17" t="n">
        <v>500</v>
      </c>
      <c r="H24" s="17" t="n">
        <v>120</v>
      </c>
      <c r="I24" s="17">
        <f>IF(COUNT(F24,G24)&lt;2,"",F24+G24+H24)</f>
        <v/>
      </c>
      <c r="J24" s="15">
        <f>IF(COUNT(I24)=0,"no price",IF(I24&lt;=$F$5,"FITS",IF(I24&lt;=$F$6,"CLOSE","OVER")))</f>
        <v/>
      </c>
      <c r="K24" s="16" t="n">
        <v>50</v>
      </c>
      <c r="L24" s="20">
        <f>IFERROR(K24/2,"")</f>
        <v/>
      </c>
      <c r="M24" s="15">
        <f>IF(COUNT(K24)=0,"?",IF(K24&gt;=$F$7,"YES",IF(K24&gt;=40,"TIGHT","NO")))</f>
        <v/>
      </c>
      <c r="N24" s="15" t="n"/>
      <c r="O24" s="18" t="inlineStr">
        <is>
          <t>24h LIVE</t>
        </is>
      </c>
      <c r="P24" s="16" t="inlineStr">
        <is>
          <t>zlimovel</t>
        </is>
      </c>
      <c r="Q24" s="16" t="inlineStr">
        <is>
          <t>zlimovel.com.br/imoveis-seo/alugar-apartamento-com-portaria-24-horas-penha-zona-leste-sao-paulo/</t>
        </is>
      </c>
      <c r="R24" s="16" t="inlineStr">
        <is>
          <t>[SHORTLIST E1] TWO units at this price. Deepest portaria-24h supply at budget anywhere. *** BUT Estacao Penha is administratively in the VILA MATILDE district (961 robberies/yr), NOT Penha de Franca. See the TRAPS tab before you view.</t>
        </is>
      </c>
    </row>
    <row r="25">
      <c r="A25" s="16" t="inlineStr">
        <is>
          <t>Penha - CHECK THE CEP</t>
        </is>
      </c>
      <c r="B25" s="16" t="inlineStr">
        <is>
          <t>L3-Vermelha</t>
        </is>
      </c>
      <c r="C25" s="16" t="inlineStr">
        <is>
          <t>Penha</t>
        </is>
      </c>
      <c r="D25" s="15" t="n"/>
      <c r="E25" s="16" t="inlineStr">
        <is>
          <t>(agency listing, portaria-24h filter)</t>
        </is>
      </c>
      <c r="F25" s="17" t="n">
        <v>1799</v>
      </c>
      <c r="G25" s="17" t="n">
        <v>768</v>
      </c>
      <c r="H25" s="17" t="n">
        <v>120</v>
      </c>
      <c r="I25" s="17">
        <f>IF(COUNT(F25,G25)&lt;2,"",F25+G25+H25)</f>
        <v/>
      </c>
      <c r="J25" s="15">
        <f>IF(COUNT(I25)=0,"no price",IF(I25&lt;=$F$5,"FITS",IF(I25&lt;=$F$6,"CLOSE","OVER")))</f>
        <v/>
      </c>
      <c r="K25" s="16" t="n">
        <v>54</v>
      </c>
      <c r="L25" s="20">
        <f>IFERROR(K25/2,"")</f>
        <v/>
      </c>
      <c r="M25" s="15">
        <f>IF(COUNT(K25)=0,"?",IF(K25&gt;=$F$7,"YES",IF(K25&gt;=40,"TIGHT","NO")))</f>
        <v/>
      </c>
      <c r="N25" s="15" t="n"/>
      <c r="O25" s="18" t="inlineStr">
        <is>
          <t>24h LIVE</t>
        </is>
      </c>
      <c r="P25" s="16" t="inlineStr">
        <is>
          <t>zlimovel</t>
        </is>
      </c>
      <c r="Q25" s="16" t="inlineStr">
        <is>
          <t>zlimovel.com.br/imoveis-seo/alugar-apartamento-com-portaria-24-horas-penha-zona-leste-sao-paulo/</t>
        </is>
      </c>
      <c r="R25" s="16" t="inlineStr">
        <is>
          <t>[SHORTLIST E2] 54m2 + portaria 24h. Same CEP caveat.</t>
        </is>
      </c>
    </row>
    <row r="26">
      <c r="A26" s="16" t="inlineStr">
        <is>
          <t>Tatuape</t>
        </is>
      </c>
      <c r="B26" s="16" t="inlineStr">
        <is>
          <t>L3-Vermelha</t>
        </is>
      </c>
      <c r="C26" s="16" t="inlineStr">
        <is>
          <t>Tatuape</t>
        </is>
      </c>
      <c r="D26" s="15" t="n"/>
      <c r="E26" s="16" t="inlineStr">
        <is>
          <t>Cond. Dosso del Liro</t>
        </is>
      </c>
      <c r="F26" s="17" t="n">
        <v>2200</v>
      </c>
      <c r="G26" s="17" t="n">
        <v>580</v>
      </c>
      <c r="H26" s="17" t="n">
        <v>120</v>
      </c>
      <c r="I26" s="17">
        <f>IF(COUNT(F26,G26)&lt;2,"",F26+G26+H26)</f>
        <v/>
      </c>
      <c r="J26" s="15">
        <f>IF(COUNT(I26)=0,"no price",IF(I26&lt;=$F$5,"FITS",IF(I26&lt;=$F$6,"CLOSE","OVER")))</f>
        <v/>
      </c>
      <c r="K26" s="16" t="n">
        <v>48</v>
      </c>
      <c r="L26" s="20">
        <f>IFERROR(K26/2,"")</f>
        <v/>
      </c>
      <c r="M26" s="15">
        <f>IF(COUNT(K26)=0,"?",IF(K26&gt;=$F$7,"YES",IF(K26&gt;=40,"TIGHT","NO")))</f>
        <v/>
      </c>
      <c r="N26" s="15" t="n"/>
      <c r="O26" s="18" t="inlineStr">
        <is>
          <t>24h LIVE</t>
        </is>
      </c>
      <c r="P26" s="16" t="inlineStr">
        <is>
          <t>zlimovel</t>
        </is>
      </c>
      <c r="Q26" s="16" t="inlineStr">
        <is>
          <t>zlimovel.com.br/imoveis-seo/aluguel-apartamentos-tatuape-2-dormitorios-zona-leste-sp/</t>
        </is>
      </c>
      <c r="R26" s="16" t="inlineStr">
        <is>
          <t>[SHORTLIST E3] The ONLY portaria-24h 2-dorm at budget in Tatuape.</t>
        </is>
      </c>
    </row>
    <row r="27">
      <c r="A27" s="16" t="inlineStr">
        <is>
          <t>Morumbi (Giovanni Gronchi side)</t>
        </is>
      </c>
      <c r="B27" s="16" t="inlineStr">
        <is>
          <t>NO metro walk</t>
        </is>
      </c>
      <c r="C27" s="16" t="inlineStr">
        <is>
          <t>200m Av. Giovanni Gronchi</t>
        </is>
      </c>
      <c r="D27" s="15" t="n"/>
      <c r="E27" s="16" t="inlineStr">
        <is>
          <t>Rua Antonio Julio dos Santos</t>
        </is>
      </c>
      <c r="F27" s="17" t="n">
        <v>1600</v>
      </c>
      <c r="G27" s="17" t="n">
        <v>630</v>
      </c>
      <c r="H27" s="17" t="n">
        <v>107</v>
      </c>
      <c r="I27" s="17">
        <f>IF(COUNT(F27,G27)&lt;2,"",F27+G27+H27)</f>
        <v/>
      </c>
      <c r="J27" s="15">
        <f>IF(COUNT(I27)=0,"no price",IF(I27&lt;=$F$5,"FITS",IF(I27&lt;=$F$6,"CLOSE","OVER")))</f>
        <v/>
      </c>
      <c r="K27" s="16" t="n">
        <v>50</v>
      </c>
      <c r="L27" s="20">
        <f>IFERROR(K27/2,"")</f>
        <v/>
      </c>
      <c r="M27" s="15">
        <f>IF(COUNT(K27)=0,"?",IF(K27&gt;=$F$7,"YES",IF(K27&gt;=40,"TIGHT","NO")))</f>
        <v/>
      </c>
      <c r="N27" s="15" t="n">
        <v>1</v>
      </c>
      <c r="O27" s="18" t="inlineStr">
        <is>
          <t>24h LIVE</t>
        </is>
      </c>
      <c r="P27" s="16" t="inlineStr">
        <is>
          <t>QuintoAndar via chavesnamao</t>
        </is>
      </c>
      <c r="Q27" s="16" t="inlineStr">
        <is>
          <t>chavesnamao.com.br/imovel/...morumbi-50m2-RS1600/id-44820564/</t>
        </is>
      </c>
      <c r="R27" s="16" t="inlineStr">
        <is>
          <t>[SHORTLIST F1] 50m2 + 'portaria 24h com acesso biometrico' at only R$2,337 - the best price/size/security combo in the entire harvest. It FAILS the walk rule (nowhere near a L4 station). Listed only because if a short bus were ever acceptable, this is the one.</t>
        </is>
      </c>
    </row>
    <row r="28">
      <c r="A28" s="16" t="inlineStr">
        <is>
          <t>Vila Buarque / Santa Cecilia</t>
        </is>
      </c>
      <c r="B28" s="16" t="inlineStr">
        <is>
          <t>L3/L4</t>
        </is>
      </c>
      <c r="C28" s="16" t="inlineStr">
        <is>
          <t>Santa Cecilia 7 min</t>
        </is>
      </c>
      <c r="D28" s="15" t="n">
        <v>7</v>
      </c>
      <c r="E28" s="16" t="inlineStr">
        <is>
          <t>Rua das Palmeiras</t>
        </is>
      </c>
      <c r="F28" s="17" t="n">
        <v>2200</v>
      </c>
      <c r="G28" s="17" t="n">
        <v>638</v>
      </c>
      <c r="H28" s="17" t="n">
        <v>120</v>
      </c>
      <c r="I28" s="17">
        <f>IF(COUNT(F28,G28)&lt;2,"",F28+G28+H28)</f>
        <v/>
      </c>
      <c r="J28" s="15">
        <f>IF(COUNT(I28)=0,"no price",IF(I28&lt;=$F$5,"FITS",IF(I28&lt;=$F$6,"CLOSE","OVER")))</f>
        <v/>
      </c>
      <c r="K28" s="16" t="n">
        <v>44</v>
      </c>
      <c r="L28" s="20">
        <f>IFERROR(K28/2,"")</f>
        <v/>
      </c>
      <c r="M28" s="15">
        <f>IF(COUNT(K28)=0,"?",IF(K28&gt;=$F$7,"YES",IF(K28&gt;=40,"TIGHT","NO")))</f>
        <v/>
      </c>
      <c r="N28" s="15" t="n"/>
      <c r="O28" s="18" t="inlineStr">
        <is>
          <t>24h LIVE</t>
        </is>
      </c>
      <c r="P28" s="16" t="inlineStr">
        <is>
          <t>JPL Imoveis</t>
        </is>
      </c>
      <c r="Q28" s="16" t="inlineStr">
        <is>
          <t>chavesnamao.com.br/imovel/...vila-buarque-44m2-RS2200/id-44510936/</t>
        </is>
      </c>
      <c r="R28" s="16" t="inlineStr">
        <is>
          <t>[SHORTLIST G1] Only confirmed portaria 24h near budget in the centre. Building is right; the WALK is the problem - it tracks toward the Cracolandia perimeter. Safe inside, questionable getting there. See TRAPS.</t>
        </is>
      </c>
    </row>
    <row r="29">
      <c r="A29" s="16" t="inlineStr">
        <is>
          <t>Jaguare</t>
        </is>
      </c>
      <c r="B29" s="16" t="inlineStr">
        <is>
          <t>CPTM L9</t>
        </is>
      </c>
      <c r="C29" s="16" t="inlineStr">
        <is>
          <t>Villa-Lobos-Jaguare</t>
        </is>
      </c>
      <c r="D29" s="15" t="n"/>
      <c r="E29" s="16" t="inlineStr">
        <is>
          <t>(agency listing)</t>
        </is>
      </c>
      <c r="F29" s="17" t="n">
        <v>1300</v>
      </c>
      <c r="G29" s="17" t="n">
        <v>385</v>
      </c>
      <c r="H29" s="17" t="n">
        <v>120</v>
      </c>
      <c r="I29" s="17">
        <f>IF(COUNT(F29,G29)&lt;2,"",F29+G29+H29)</f>
        <v/>
      </c>
      <c r="J29" s="15">
        <f>IF(COUNT(I29)=0,"no price",IF(I29&lt;=$F$5,"FITS",IF(I29&lt;=$F$6,"CLOSE","OVER")))</f>
        <v/>
      </c>
      <c r="K29" s="16" t="n">
        <v>35</v>
      </c>
      <c r="L29" s="20">
        <f>IFERROR(K29/2,"")</f>
        <v/>
      </c>
      <c r="M29" s="15">
        <f>IF(COUNT(K29)=0,"?",IF(K29&gt;=$F$7,"YES",IF(K29&gt;=40,"TIGHT","NO")))</f>
        <v/>
      </c>
      <c r="N29" s="15" t="n">
        <v>0</v>
      </c>
      <c r="O29" s="15" t="inlineStr">
        <is>
          <t>?</t>
        </is>
      </c>
      <c r="P29" s="16" t="inlineStr">
        <is>
          <t>Roque Farias</t>
        </is>
      </c>
      <c r="Q29" s="16" t="inlineStr">
        <is>
          <t>zoimovel /4523350/</t>
        </is>
      </c>
      <c r="R29" s="16" t="inlineStr">
        <is>
          <t>Cheapest 2-dorm found anywhere. 35m2. Station is INDUSTRIAL and reported dark at night.</t>
        </is>
      </c>
    </row>
    <row r="30">
      <c r="A30" s="16" t="inlineStr">
        <is>
          <t>Jaguare</t>
        </is>
      </c>
      <c r="B30" s="16" t="inlineStr">
        <is>
          <t>CPTM L9</t>
        </is>
      </c>
      <c r="C30" s="16" t="inlineStr">
        <is>
          <t>Villa-Lobos-Jaguare</t>
        </is>
      </c>
      <c r="D30" s="15" t="n"/>
      <c r="E30" s="16" t="inlineStr">
        <is>
          <t>Av. Alexandre Mackenzie</t>
        </is>
      </c>
      <c r="F30" s="17" t="n">
        <v>1445</v>
      </c>
      <c r="G30" s="17" t="n">
        <v>430</v>
      </c>
      <c r="H30" s="17" t="n">
        <v>0</v>
      </c>
      <c r="I30" s="17">
        <f>IF(COUNT(F30,G30)&lt;2,"",F30+G30+H30)</f>
        <v/>
      </c>
      <c r="J30" s="15">
        <f>IF(COUNT(I30)=0,"no price",IF(I30&lt;=$F$5,"FITS",IF(I30&lt;=$F$6,"CLOSE","OVER")))</f>
        <v/>
      </c>
      <c r="K30" s="16" t="n">
        <v>35</v>
      </c>
      <c r="L30" s="20">
        <f>IFERROR(K30/2,"")</f>
        <v/>
      </c>
      <c r="M30" s="15">
        <f>IF(COUNT(K30)=0,"?",IF(K30&gt;=$F$7,"YES",IF(K30&gt;=40,"TIGHT","NO")))</f>
        <v/>
      </c>
      <c r="N30" s="15" t="n">
        <v>1</v>
      </c>
      <c r="O30" s="15" t="inlineStr">
        <is>
          <t>?</t>
        </is>
      </c>
      <c r="P30" s="16" t="inlineStr">
        <is>
          <t>QuintoAndar</t>
        </is>
      </c>
      <c r="Q30" s="16" t="inlineStr">
        <is>
          <t>chavesnamao id-43798028</t>
        </is>
      </c>
      <c r="R30" s="16" t="inlineStr">
        <is>
          <t>Cheap cluster. 35m2 '2-dorm' - verify two real rooms.</t>
        </is>
      </c>
    </row>
    <row r="31">
      <c r="A31" s="16" t="inlineStr">
        <is>
          <t>Jaguare</t>
        </is>
      </c>
      <c r="B31" s="16" t="inlineStr">
        <is>
          <t>CPTM L9</t>
        </is>
      </c>
      <c r="C31" s="16" t="inlineStr">
        <is>
          <t>Villa-Lobos-Jaguare</t>
        </is>
      </c>
      <c r="D31" s="15" t="n"/>
      <c r="E31" s="16" t="inlineStr">
        <is>
          <t>Av. Alexandre Mackenzie</t>
        </is>
      </c>
      <c r="F31" s="17" t="n">
        <v>1462</v>
      </c>
      <c r="G31" s="17" t="n">
        <v>350</v>
      </c>
      <c r="H31" s="17" t="n">
        <v>120</v>
      </c>
      <c r="I31" s="17">
        <f>IF(COUNT(F31,G31)&lt;2,"",F31+G31+H31)</f>
        <v/>
      </c>
      <c r="J31" s="15">
        <f>IF(COUNT(I31)=0,"no price",IF(I31&lt;=$F$5,"FITS",IF(I31&lt;=$F$6,"CLOSE","OVER")))</f>
        <v/>
      </c>
      <c r="K31" s="16" t="n">
        <v>35</v>
      </c>
      <c r="L31" s="20">
        <f>IFERROR(K31/2,"")</f>
        <v/>
      </c>
      <c r="M31" s="15">
        <f>IF(COUNT(K31)=0,"?",IF(K31&gt;=$F$7,"YES",IF(K31&gt;=40,"TIGHT","NO")))</f>
        <v/>
      </c>
      <c r="N31" s="15" t="n">
        <v>1</v>
      </c>
      <c r="O31" s="15" t="inlineStr">
        <is>
          <t>?</t>
        </is>
      </c>
      <c r="P31" s="16" t="inlineStr">
        <is>
          <t>QuintoAndar</t>
        </is>
      </c>
      <c r="Q31" s="16" t="inlineStr">
        <is>
          <t>chavesnamao id-38959047</t>
        </is>
      </c>
      <c r="R31" s="16" t="inlineStr"/>
    </row>
    <row r="32">
      <c r="A32" s="16" t="inlineStr">
        <is>
          <t>Parada Inglesa</t>
        </is>
      </c>
      <c r="B32" s="16" t="inlineStr">
        <is>
          <t>L1-Azul</t>
        </is>
      </c>
      <c r="C32" s="16" t="inlineStr">
        <is>
          <t>Parada Inglesa 8 min</t>
        </is>
      </c>
      <c r="D32" s="15" t="n">
        <v>8</v>
      </c>
      <c r="E32" s="16" t="inlineStr">
        <is>
          <t>(address withheld)</t>
        </is>
      </c>
      <c r="F32" s="17" t="n">
        <v>1850</v>
      </c>
      <c r="G32" s="17" t="n">
        <v>150</v>
      </c>
      <c r="H32" s="17" t="n">
        <v>0</v>
      </c>
      <c r="I32" s="17">
        <f>IF(COUNT(F32,G32)&lt;2,"",F32+G32+H32)</f>
        <v/>
      </c>
      <c r="J32" s="15">
        <f>IF(COUNT(I32)=0,"no price",IF(I32&lt;=$F$5,"FITS",IF(I32&lt;=$F$6,"CLOSE","OVER")))</f>
        <v/>
      </c>
      <c r="K32" s="16" t="n">
        <v>46</v>
      </c>
      <c r="L32" s="20">
        <f>IFERROR(K32/2,"")</f>
        <v/>
      </c>
      <c r="M32" s="15">
        <f>IF(COUNT(K32)=0,"?",IF(K32&gt;=$F$7,"YES",IF(K32&gt;=40,"TIGHT","NO")))</f>
        <v/>
      </c>
      <c r="N32" s="15" t="n"/>
      <c r="O32" s="15" t="inlineStr">
        <is>
          <t>?</t>
        </is>
      </c>
      <c r="P32" s="16" t="inlineStr">
        <is>
          <t>RF Prime</t>
        </is>
      </c>
      <c r="Q32" s="16" t="inlineStr">
        <is>
          <t>znimovel /4481325/</t>
        </is>
      </c>
      <c r="R32" s="16" t="inlineStr">
        <is>
          <t>IPTU ISENTO 2026. Cheapest all-in that passes the metro walk test in the north. Vaga data contradictory - confirm.</t>
        </is>
      </c>
    </row>
    <row r="33">
      <c r="A33" s="16" t="inlineStr">
        <is>
          <t>Jaguare</t>
        </is>
      </c>
      <c r="B33" s="16" t="inlineStr">
        <is>
          <t>CPTM L9</t>
        </is>
      </c>
      <c r="C33" s="16" t="inlineStr">
        <is>
          <t>Villa-Lobos-Jaguare</t>
        </is>
      </c>
      <c r="D33" s="15" t="n"/>
      <c r="E33" s="16" t="inlineStr">
        <is>
          <t>Av. Alexandre Mackenzie</t>
        </is>
      </c>
      <c r="F33" s="17" t="n">
        <v>1615</v>
      </c>
      <c r="G33" s="17" t="n">
        <v>350</v>
      </c>
      <c r="H33" s="17" t="n">
        <v>120</v>
      </c>
      <c r="I33" s="17">
        <f>IF(COUNT(F33,G33)&lt;2,"",F33+G33+H33)</f>
        <v/>
      </c>
      <c r="J33" s="15">
        <f>IF(COUNT(I33)=0,"no price",IF(I33&lt;=$F$5,"FITS",IF(I33&lt;=$F$6,"CLOSE","OVER")))</f>
        <v/>
      </c>
      <c r="K33" s="16" t="n">
        <v>35</v>
      </c>
      <c r="L33" s="20">
        <f>IFERROR(K33/2,"")</f>
        <v/>
      </c>
      <c r="M33" s="15">
        <f>IF(COUNT(K33)=0,"?",IF(K33&gt;=$F$7,"YES",IF(K33&gt;=40,"TIGHT","NO")))</f>
        <v/>
      </c>
      <c r="N33" s="15" t="n">
        <v>1</v>
      </c>
      <c r="O33" s="15" t="inlineStr">
        <is>
          <t>?</t>
        </is>
      </c>
      <c r="P33" s="16" t="inlineStr">
        <is>
          <t>QuintoAndar</t>
        </is>
      </c>
      <c r="Q33" s="16" t="inlineStr">
        <is>
          <t>chavesnamao id-36114225</t>
        </is>
      </c>
      <c r="R33" s="16" t="inlineStr"/>
    </row>
    <row r="34">
      <c r="A34" s="16" t="inlineStr">
        <is>
          <t>Santana</t>
        </is>
      </c>
      <c r="B34" s="16" t="inlineStr">
        <is>
          <t>L1-Azul</t>
        </is>
      </c>
      <c r="C34" s="16" t="inlineStr">
        <is>
          <t>Santana 5-8 min</t>
        </is>
      </c>
      <c r="D34" s="15" t="n">
        <v>7</v>
      </c>
      <c r="E34" s="16" t="inlineStr">
        <is>
          <t>Rua Duarte de Azevedo, 328</t>
        </is>
      </c>
      <c r="F34" s="17" t="n">
        <v>1700</v>
      </c>
      <c r="G34" s="17" t="n">
        <v>237</v>
      </c>
      <c r="H34" s="17" t="n">
        <v>95</v>
      </c>
      <c r="I34" s="17">
        <f>IF(COUNT(F34,G34)&lt;2,"",F34+G34+H34)</f>
        <v/>
      </c>
      <c r="J34" s="15">
        <f>IF(COUNT(I34)=0,"no price",IF(I34&lt;=$F$5,"FITS",IF(I34&lt;=$F$6,"CLOSE","OVER")))</f>
        <v/>
      </c>
      <c r="K34" s="16" t="n">
        <v>50</v>
      </c>
      <c r="L34" s="20">
        <f>IFERROR(K34/2,"")</f>
        <v/>
      </c>
      <c r="M34" s="15">
        <f>IF(COUNT(K34)=0,"?",IF(K34&gt;=$F$7,"YES",IF(K34&gt;=40,"TIGHT","NO")))</f>
        <v/>
      </c>
      <c r="N34" s="15" t="n">
        <v>1</v>
      </c>
      <c r="O34" s="15" t="inlineStr">
        <is>
          <t>?</t>
        </is>
      </c>
      <c r="P34" s="16" t="inlineStr">
        <is>
          <t>Panama Negocios</t>
        </is>
      </c>
      <c r="Q34" s="16" t="inlineStr">
        <is>
          <t>(11) 2959-0094 / znimovel 4417649</t>
        </is>
      </c>
      <c r="R34" s="16" t="inlineStr">
        <is>
          <t>50m2 + suite for R$2,032 all-in, on Santana's dense lit commercial spine. ~45-55 min to Pinheiros - 15-25 min better than Tucuruvi. Pet-friendly.</t>
        </is>
      </c>
    </row>
    <row r="35">
      <c r="A35" s="16" t="inlineStr">
        <is>
          <t>Jaguare</t>
        </is>
      </c>
      <c r="B35" s="16" t="inlineStr">
        <is>
          <t>CPTM L9</t>
        </is>
      </c>
      <c r="C35" s="16" t="inlineStr">
        <is>
          <t>Villa-Lobos-Jaguare</t>
        </is>
      </c>
      <c r="D35" s="15" t="n"/>
      <c r="E35" s="16" t="inlineStr">
        <is>
          <t>Av. Alexandre Mackenzie</t>
        </is>
      </c>
      <c r="F35" s="17" t="n">
        <v>1600</v>
      </c>
      <c r="G35" s="17" t="n">
        <v>430</v>
      </c>
      <c r="H35" s="17" t="n">
        <v>120</v>
      </c>
      <c r="I35" s="17">
        <f>IF(COUNT(F35,G35)&lt;2,"",F35+G35+H35)</f>
        <v/>
      </c>
      <c r="J35" s="15">
        <f>IF(COUNT(I35)=0,"no price",IF(I35&lt;=$F$5,"FITS",IF(I35&lt;=$F$6,"CLOSE","OVER")))</f>
        <v/>
      </c>
      <c r="K35" s="16" t="n">
        <v>35</v>
      </c>
      <c r="L35" s="20">
        <f>IFERROR(K35/2,"")</f>
        <v/>
      </c>
      <c r="M35" s="15">
        <f>IF(COUNT(K35)=0,"?",IF(K35&gt;=$F$7,"YES",IF(K35&gt;=40,"TIGHT","NO")))</f>
        <v/>
      </c>
      <c r="N35" s="15" t="n">
        <v>1</v>
      </c>
      <c r="O35" s="15" t="inlineStr">
        <is>
          <t>?</t>
        </is>
      </c>
      <c r="P35" s="16" t="inlineStr">
        <is>
          <t>QuintoAndar</t>
        </is>
      </c>
      <c r="Q35" s="16" t="inlineStr">
        <is>
          <t>chavesnamao id-34229728</t>
        </is>
      </c>
      <c r="R35" s="16" t="inlineStr"/>
    </row>
    <row r="36">
      <c r="A36" s="16" t="inlineStr">
        <is>
          <t>Agua Branca</t>
        </is>
      </c>
      <c r="B36" s="16" t="inlineStr">
        <is>
          <t>CPTM L8</t>
        </is>
      </c>
      <c r="C36" s="16" t="inlineStr">
        <is>
          <t>Agua Branca</t>
        </is>
      </c>
      <c r="D36" s="15" t="n"/>
      <c r="E36" s="16" t="inlineStr">
        <is>
          <t>Rua Luiz Gatti</t>
        </is>
      </c>
      <c r="F36" s="17" t="n">
        <v>1650</v>
      </c>
      <c r="G36" s="17" t="n">
        <v>543</v>
      </c>
      <c r="H36" s="17" t="n">
        <v>0</v>
      </c>
      <c r="I36" s="17">
        <f>IF(COUNT(F36,G36)&lt;2,"",F36+G36+H36)</f>
        <v/>
      </c>
      <c r="J36" s="15">
        <f>IF(COUNT(I36)=0,"no price",IF(I36&lt;=$F$5,"FITS",IF(I36&lt;=$F$6,"CLOSE","OVER")))</f>
        <v/>
      </c>
      <c r="K36" s="16" t="n">
        <v>42</v>
      </c>
      <c r="L36" s="20">
        <f>IFERROR(K36/2,"")</f>
        <v/>
      </c>
      <c r="M36" s="15">
        <f>IF(COUNT(K36)=0,"?",IF(K36&gt;=$F$7,"YES",IF(K36&gt;=40,"TIGHT","NO")))</f>
        <v/>
      </c>
      <c r="N36" s="15" t="n">
        <v>1</v>
      </c>
      <c r="O36" s="15" t="inlineStr">
        <is>
          <t>?</t>
        </is>
      </c>
      <c r="P36" s="16" t="inlineStr">
        <is>
          <t>QuintoAndar</t>
        </is>
      </c>
      <c r="Q36" s="16" t="inlineStr">
        <is>
          <t>chavesnamao id-45228999</t>
        </is>
      </c>
      <c r="R36" s="16" t="inlineStr"/>
    </row>
    <row r="37">
      <c r="A37" s="16" t="inlineStr">
        <is>
          <t>Sao Judas</t>
        </is>
      </c>
      <c r="B37" s="16" t="inlineStr">
        <is>
          <t>L1-Azul</t>
        </is>
      </c>
      <c r="C37" s="16" t="inlineStr">
        <is>
          <t>Sao Judas ~2 min</t>
        </is>
      </c>
      <c r="D37" s="15" t="n">
        <v>2</v>
      </c>
      <c r="E37" s="16" t="inlineStr">
        <is>
          <t>(colado ao metro - addr withheld)</t>
        </is>
      </c>
      <c r="F37" s="17" t="n">
        <v>1400</v>
      </c>
      <c r="G37" s="17" t="n">
        <v>502</v>
      </c>
      <c r="H37" s="17" t="n">
        <v>120</v>
      </c>
      <c r="I37" s="17">
        <f>IF(COUNT(F37,G37)&lt;2,"",F37+G37+H37)</f>
        <v/>
      </c>
      <c r="J37" s="15">
        <f>IF(COUNT(I37)=0,"no price",IF(I37&lt;=$F$5,"FITS",IF(I37&lt;=$F$6,"CLOSE","OVER")))</f>
        <v/>
      </c>
      <c r="K37" s="16" t="n">
        <v>42</v>
      </c>
      <c r="L37" s="20">
        <f>IFERROR(K37/2,"")</f>
        <v/>
      </c>
      <c r="M37" s="15">
        <f>IF(COUNT(K37)=0,"?",IF(K37&gt;=$F$7,"YES",IF(K37&gt;=40,"TIGHT","NO")))</f>
        <v/>
      </c>
      <c r="N37" s="15" t="n">
        <v>0</v>
      </c>
      <c r="O37" s="21" t="inlineStr">
        <is>
          <t>none</t>
        </is>
      </c>
      <c r="P37" s="16" t="inlineStr">
        <is>
          <t>Katia Zancheta</t>
        </is>
      </c>
      <c r="Q37" s="16" t="inlineStr">
        <is>
          <t>chavesnamao id-18388914</t>
        </is>
      </c>
      <c r="R37" s="16" t="inlineStr">
        <is>
          <t>'COLADO METRO SAO JUDAS'. No doorman, no lift. LOW listing ID = likely stale, verify.</t>
        </is>
      </c>
    </row>
    <row r="38">
      <c r="A38" s="16" t="inlineStr">
        <is>
          <t>Sao Judas</t>
        </is>
      </c>
      <c r="B38" s="16" t="inlineStr">
        <is>
          <t>L1-Azul</t>
        </is>
      </c>
      <c r="C38" s="16" t="inlineStr">
        <is>
          <t>Sao Judas ~2 min</t>
        </is>
      </c>
      <c r="D38" s="15" t="n">
        <v>2</v>
      </c>
      <c r="E38" s="16" t="inlineStr">
        <is>
          <t>(colado ao metro - addr withheld)</t>
        </is>
      </c>
      <c r="F38" s="17" t="n">
        <v>1600</v>
      </c>
      <c r="G38" s="17" t="n">
        <v>502</v>
      </c>
      <c r="H38" s="17" t="n">
        <v>120</v>
      </c>
      <c r="I38" s="17">
        <f>IF(COUNT(F38,G38)&lt;2,"",F38+G38+H38)</f>
        <v/>
      </c>
      <c r="J38" s="15">
        <f>IF(COUNT(I38)=0,"no price",IF(I38&lt;=$F$5,"FITS",IF(I38&lt;=$F$6,"CLOSE","OVER")))</f>
        <v/>
      </c>
      <c r="K38" s="16" t="n">
        <v>42</v>
      </c>
      <c r="L38" s="20">
        <f>IFERROR(K38/2,"")</f>
        <v/>
      </c>
      <c r="M38" s="15">
        <f>IF(COUNT(K38)=0,"?",IF(K38&gt;=$F$7,"YES",IF(K38&gt;=40,"TIGHT","NO")))</f>
        <v/>
      </c>
      <c r="N38" s="15" t="n">
        <v>0</v>
      </c>
      <c r="O38" s="21" t="inlineStr">
        <is>
          <t>none</t>
        </is>
      </c>
      <c r="P38" s="16" t="inlineStr">
        <is>
          <t>Katia Zancheta</t>
        </is>
      </c>
      <c r="Q38" s="16" t="inlineStr">
        <is>
          <t>chavesnamao id-45944001</t>
        </is>
      </c>
      <c r="R38" s="16" t="inlineStr">
        <is>
          <t>Freshest cheap unit found (updated 21 Aug 2026). No doorman, no lift.</t>
        </is>
      </c>
    </row>
    <row r="39">
      <c r="A39" s="16" t="inlineStr">
        <is>
          <t>Jaguare</t>
        </is>
      </c>
      <c r="B39" s="16" t="inlineStr">
        <is>
          <t>CPTM L9</t>
        </is>
      </c>
      <c r="C39" s="16" t="inlineStr">
        <is>
          <t>Villa-Lobos-Jaguare</t>
        </is>
      </c>
      <c r="D39" s="15" t="n"/>
      <c r="E39" s="16" t="inlineStr">
        <is>
          <t>(agency listing)</t>
        </is>
      </c>
      <c r="F39" s="17" t="n">
        <v>1650</v>
      </c>
      <c r="G39" s="17" t="n">
        <v>460</v>
      </c>
      <c r="H39" s="17" t="n">
        <v>120</v>
      </c>
      <c r="I39" s="17">
        <f>IF(COUNT(F39,G39)&lt;2,"",F39+G39+H39)</f>
        <v/>
      </c>
      <c r="J39" s="15">
        <f>IF(COUNT(I39)=0,"no price",IF(I39&lt;=$F$5,"FITS",IF(I39&lt;=$F$6,"CLOSE","OVER")))</f>
        <v/>
      </c>
      <c r="K39" s="16" t="n">
        <v>37</v>
      </c>
      <c r="L39" s="20">
        <f>IFERROR(K39/2,"")</f>
        <v/>
      </c>
      <c r="M39" s="15">
        <f>IF(COUNT(K39)=0,"?",IF(K39&gt;=$F$7,"YES",IF(K39&gt;=40,"TIGHT","NO")))</f>
        <v/>
      </c>
      <c r="N39" s="15" t="n">
        <v>0</v>
      </c>
      <c r="O39" s="15" t="inlineStr">
        <is>
          <t>?</t>
        </is>
      </c>
      <c r="P39" s="16" t="inlineStr">
        <is>
          <t>Roque Farias</t>
        </is>
      </c>
      <c r="Q39" s="16" t="inlineStr">
        <is>
          <t>zoimovel /4522725/</t>
        </is>
      </c>
      <c r="R39" s="16" t="inlineStr"/>
    </row>
    <row r="40">
      <c r="A40" s="16" t="inlineStr">
        <is>
          <t>Vila Sonia</t>
        </is>
      </c>
      <c r="B40" s="16" t="inlineStr">
        <is>
          <t>L4-Amarela</t>
        </is>
      </c>
      <c r="C40" s="16" t="inlineStr">
        <is>
          <t>Vila Sonia ~5 min</t>
        </is>
      </c>
      <c r="D40" s="15" t="n">
        <v>5</v>
      </c>
      <c r="E40" s="16" t="inlineStr">
        <is>
          <t>Rua Dias Vieira</t>
        </is>
      </c>
      <c r="F40" s="17" t="n">
        <v>1741</v>
      </c>
      <c r="G40" s="17" t="n">
        <v>512</v>
      </c>
      <c r="H40" s="17" t="n">
        <v>0</v>
      </c>
      <c r="I40" s="17">
        <f>IF(COUNT(F40,G40)&lt;2,"",F40+G40+H40)</f>
        <v/>
      </c>
      <c r="J40" s="15">
        <f>IF(COUNT(I40)=0,"no price",IF(I40&lt;=$F$5,"FITS",IF(I40&lt;=$F$6,"CLOSE","OVER")))</f>
        <v/>
      </c>
      <c r="K40" s="16" t="n">
        <v>28</v>
      </c>
      <c r="L40" s="20">
        <f>IFERROR(K40/2,"")</f>
        <v/>
      </c>
      <c r="M40" s="15">
        <f>IF(COUNT(K40)=0,"?",IF(K40&gt;=$F$7,"YES",IF(K40&gt;=40,"TIGHT","NO")))</f>
        <v/>
      </c>
      <c r="N40" s="15" t="n"/>
      <c r="O40" s="15" t="inlineStr">
        <is>
          <t>?</t>
        </is>
      </c>
      <c r="P40" s="16" t="inlineStr">
        <is>
          <t>QuintoAndar</t>
        </is>
      </c>
      <c r="Q40" s="16" t="inlineStr">
        <is>
          <t>chavesnamao id-42474874</t>
        </is>
      </c>
      <c r="R40" s="16" t="inlineStr">
        <is>
          <t>28m2 - too small for two.</t>
        </is>
      </c>
    </row>
    <row r="41">
      <c r="A41" s="16" t="inlineStr">
        <is>
          <t>Ipiranga</t>
        </is>
      </c>
      <c r="B41" s="16" t="inlineStr">
        <is>
          <t>L2-Verde</t>
        </is>
      </c>
      <c r="C41" s="16" t="inlineStr">
        <is>
          <t>Ipiranga / Vila Prudente</t>
        </is>
      </c>
      <c r="D41" s="15" t="n"/>
      <c r="E41" s="16" t="inlineStr">
        <is>
          <t>(addr withheld)</t>
        </is>
      </c>
      <c r="F41" s="17" t="n">
        <v>1600</v>
      </c>
      <c r="G41" s="17" t="n">
        <v>320</v>
      </c>
      <c r="H41" s="17" t="n">
        <v>120</v>
      </c>
      <c r="I41" s="17">
        <f>IF(COUNT(F41,G41)&lt;2,"",F41+G41+H41)</f>
        <v/>
      </c>
      <c r="J41" s="15">
        <f>IF(COUNT(I41)=0,"no price",IF(I41&lt;=$F$5,"FITS",IF(I41&lt;=$F$6,"CLOSE","OVER")))</f>
        <v/>
      </c>
      <c r="K41" s="16" t="n">
        <v>35</v>
      </c>
      <c r="L41" s="20">
        <f>IFERROR(K41/2,"")</f>
        <v/>
      </c>
      <c r="M41" s="15">
        <f>IF(COUNT(K41)=0,"?",IF(K41&gt;=$F$7,"YES",IF(K41&gt;=40,"TIGHT","NO")))</f>
        <v/>
      </c>
      <c r="N41" s="15" t="n"/>
      <c r="O41" s="21" t="inlineStr">
        <is>
          <t>none</t>
        </is>
      </c>
      <c r="P41" s="16" t="inlineStr">
        <is>
          <t>Millare Consultoria</t>
        </is>
      </c>
      <c r="Q41" s="16" t="inlineStr">
        <is>
          <t>chavesnamao id-42346205</t>
        </is>
      </c>
      <c r="R41" s="16" t="inlineStr">
        <is>
          <t>Gated, no doorman. Distance to station UNVERIFIED.</t>
        </is>
      </c>
    </row>
    <row r="42">
      <c r="A42" s="16" t="inlineStr">
        <is>
          <t>Jaguare</t>
        </is>
      </c>
      <c r="B42" s="16" t="inlineStr">
        <is>
          <t>CPTM L9</t>
        </is>
      </c>
      <c r="C42" s="16" t="inlineStr">
        <is>
          <t>Villa-Lobos-Jaguare</t>
        </is>
      </c>
      <c r="D42" s="15" t="n"/>
      <c r="E42" s="16" t="inlineStr">
        <is>
          <t>Av. Alexandre Mackenzie</t>
        </is>
      </c>
      <c r="F42" s="17" t="n">
        <v>1660</v>
      </c>
      <c r="G42" s="17" t="n">
        <v>475</v>
      </c>
      <c r="H42" s="17" t="n">
        <v>120</v>
      </c>
      <c r="I42" s="17">
        <f>IF(COUNT(F42,G42)&lt;2,"",F42+G42+H42)</f>
        <v/>
      </c>
      <c r="J42" s="15">
        <f>IF(COUNT(I42)=0,"no price",IF(I42&lt;=$F$5,"FITS",IF(I42&lt;=$F$6,"CLOSE","OVER")))</f>
        <v/>
      </c>
      <c r="K42" s="16" t="n">
        <v>34</v>
      </c>
      <c r="L42" s="20">
        <f>IFERROR(K42/2,"")</f>
        <v/>
      </c>
      <c r="M42" s="15">
        <f>IF(COUNT(K42)=0,"?",IF(K42&gt;=$F$7,"YES",IF(K42&gt;=40,"TIGHT","NO")))</f>
        <v/>
      </c>
      <c r="N42" s="15" t="n">
        <v>1</v>
      </c>
      <c r="O42" s="15" t="inlineStr">
        <is>
          <t>?</t>
        </is>
      </c>
      <c r="P42" s="16" t="inlineStr">
        <is>
          <t>QuintoAndar</t>
        </is>
      </c>
      <c r="Q42" s="16" t="inlineStr">
        <is>
          <t>chavesnamao id-46052343</t>
        </is>
      </c>
      <c r="R42" s="16" t="inlineStr"/>
    </row>
    <row r="43">
      <c r="A43" s="16" t="inlineStr">
        <is>
          <t>Vila Matilde  [AVOID]</t>
        </is>
      </c>
      <c r="B43" s="16" t="inlineStr">
        <is>
          <t>L3-Vermelha</t>
        </is>
      </c>
      <c r="C43" s="16" t="inlineStr">
        <is>
          <t>Vila Matilde</t>
        </is>
      </c>
      <c r="D43" s="15" t="n"/>
      <c r="E43" s="16" t="inlineStr">
        <is>
          <t>Rua Manoel Joao Pereira, 173</t>
        </is>
      </c>
      <c r="F43" s="17" t="n">
        <v>1800</v>
      </c>
      <c r="G43" s="17" t="n">
        <v>287</v>
      </c>
      <c r="H43" s="17" t="n">
        <v>120</v>
      </c>
      <c r="I43" s="17">
        <f>IF(COUNT(F43,G43)&lt;2,"",F43+G43+H43)</f>
        <v/>
      </c>
      <c r="J43" s="15">
        <f>IF(COUNT(I43)=0,"no price",IF(I43&lt;=$F$5,"FITS",IF(I43&lt;=$F$6,"CLOSE","OVER")))</f>
        <v/>
      </c>
      <c r="K43" s="16" t="n">
        <v>37</v>
      </c>
      <c r="L43" s="20">
        <f>IFERROR(K43/2,"")</f>
        <v/>
      </c>
      <c r="M43" s="15">
        <f>IF(COUNT(K43)=0,"?",IF(K43&gt;=$F$7,"YES",IF(K43&gt;=40,"TIGHT","NO")))</f>
        <v/>
      </c>
      <c r="N43" s="15" t="n">
        <v>0</v>
      </c>
      <c r="O43" s="21" t="inlineStr">
        <is>
          <t>none</t>
        </is>
      </c>
      <c r="P43" s="16" t="inlineStr">
        <is>
          <t>zlimovel</t>
        </is>
      </c>
      <c r="Q43" s="16" t="inlineStr">
        <is>
          <t>zlimovel.com.br</t>
        </is>
      </c>
      <c r="R43" s="16" t="inlineStr">
        <is>
          <t>CHEAPEST in the east. ALSO: only 38% of residents feel safe, 961 robberies/yr in the 21o DP (3.4x Vila Carrao), documented mass muggings at bus stops. Shown so the trade is visible, NOT recommended.</t>
        </is>
      </c>
    </row>
    <row r="44">
      <c r="A44" s="16" t="inlineStr">
        <is>
          <t>Vila Prudente</t>
        </is>
      </c>
      <c r="B44" s="16" t="inlineStr">
        <is>
          <t>L2-Verde</t>
        </is>
      </c>
      <c r="C44" s="16" t="inlineStr">
        <is>
          <t>Vila Prudente</t>
        </is>
      </c>
      <c r="D44" s="15" t="n"/>
      <c r="E44" s="16" t="inlineStr">
        <is>
          <t>(agency listing)</t>
        </is>
      </c>
      <c r="F44" s="17" t="n">
        <v>1800</v>
      </c>
      <c r="G44" s="17" t="n">
        <v>500</v>
      </c>
      <c r="H44" s="17" t="n">
        <v>120</v>
      </c>
      <c r="I44" s="17">
        <f>IF(COUNT(F44,G44)&lt;2,"",F44+G44+H44)</f>
        <v/>
      </c>
      <c r="J44" s="15">
        <f>IF(COUNT(I44)=0,"no price",IF(I44&lt;=$F$5,"FITS",IF(I44&lt;=$F$6,"CLOSE","OVER")))</f>
        <v/>
      </c>
      <c r="K44" s="16" t="n">
        <v>54</v>
      </c>
      <c r="L44" s="20">
        <f>IFERROR(K44/2,"")</f>
        <v/>
      </c>
      <c r="M44" s="15">
        <f>IF(COUNT(K44)=0,"?",IF(K44&gt;=$F$7,"YES",IF(K44&gt;=40,"TIGHT","NO")))</f>
        <v/>
      </c>
      <c r="N44" s="15" t="n"/>
      <c r="O44" s="15" t="inlineStr">
        <is>
          <t>?</t>
        </is>
      </c>
      <c r="P44" s="16" t="inlineStr">
        <is>
          <t>zlimovel</t>
        </is>
      </c>
      <c r="Q44" s="16" t="inlineStr">
        <is>
          <t>zlimovel.com.br</t>
        </is>
      </c>
      <c r="R44" s="16" t="inlineStr">
        <is>
          <t>54m2 w/ suite - cheapest verified fit on L2. NO portaria-24h stock found at budget here. 100% resident safety score (soft, n=80).</t>
        </is>
      </c>
    </row>
    <row r="45">
      <c r="A45" s="16" t="inlineStr">
        <is>
          <t>Barra Funda</t>
        </is>
      </c>
      <c r="B45" s="16" t="inlineStr">
        <is>
          <t>L3+L7+L8</t>
        </is>
      </c>
      <c r="C45" s="16" t="inlineStr">
        <is>
          <t>Barra Funda ~2km - FAILS walk</t>
        </is>
      </c>
      <c r="D45" s="15" t="n">
        <v>25</v>
      </c>
      <c r="E45" s="16" t="inlineStr">
        <is>
          <t>(addr withheld)</t>
        </is>
      </c>
      <c r="F45" s="17" t="n">
        <v>1950</v>
      </c>
      <c r="G45" s="17" t="n">
        <v>320</v>
      </c>
      <c r="H45" s="17" t="n">
        <v>120</v>
      </c>
      <c r="I45" s="17">
        <f>IF(COUNT(F45,G45)&lt;2,"",F45+G45+H45)</f>
        <v/>
      </c>
      <c r="J45" s="15">
        <f>IF(COUNT(I45)=0,"no price",IF(I45&lt;=$F$5,"FITS",IF(I45&lt;=$F$6,"CLOSE","OVER")))</f>
        <v/>
      </c>
      <c r="K45" s="16" t="n">
        <v>36</v>
      </c>
      <c r="L45" s="20">
        <f>IFERROR(K45/2,"")</f>
        <v/>
      </c>
      <c r="M45" s="15">
        <f>IF(COUNT(K45)=0,"?",IF(K45&gt;=$F$7,"YES",IF(K45&gt;=40,"TIGHT","NO")))</f>
        <v/>
      </c>
      <c r="N45" s="15" t="n">
        <v>1</v>
      </c>
      <c r="O45" s="18" t="inlineStr">
        <is>
          <t>24h LIVE</t>
        </is>
      </c>
      <c r="P45" s="16" t="inlineStr">
        <is>
          <t>Millare</t>
        </is>
      </c>
      <c r="Q45" s="16" t="inlineStr">
        <is>
          <t>chavesnamao id-34517036</t>
        </is>
      </c>
      <c r="R45" s="16" t="inlineStr">
        <is>
          <t>Confirmed portaria 24h but ~2km from the station. Fails the walk rule.</t>
        </is>
      </c>
    </row>
    <row r="46">
      <c r="A46" s="16" t="inlineStr">
        <is>
          <t>Sao Judas</t>
        </is>
      </c>
      <c r="B46" s="16" t="inlineStr">
        <is>
          <t>L1-Azul</t>
        </is>
      </c>
      <c r="C46" s="16" t="inlineStr">
        <is>
          <t>Sao Judas ~2 min</t>
        </is>
      </c>
      <c r="D46" s="15" t="n">
        <v>2</v>
      </c>
      <c r="E46" s="16" t="inlineStr">
        <is>
          <t>(colado ao metro)</t>
        </is>
      </c>
      <c r="F46" s="17" t="n">
        <v>2150</v>
      </c>
      <c r="G46" s="17" t="n">
        <v>150</v>
      </c>
      <c r="H46" s="17" t="n">
        <v>120</v>
      </c>
      <c r="I46" s="17">
        <f>IF(COUNT(F46,G46)&lt;2,"",F46+G46+H46)</f>
        <v/>
      </c>
      <c r="J46" s="15">
        <f>IF(COUNT(I46)=0,"no price",IF(I46&lt;=$F$5,"FITS",IF(I46&lt;=$F$6,"CLOSE","OVER")))</f>
        <v/>
      </c>
      <c r="K46" s="16" t="n">
        <v>97</v>
      </c>
      <c r="L46" s="20">
        <f>IFERROR(K46/2,"")</f>
        <v/>
      </c>
      <c r="M46" s="15">
        <f>IF(COUNT(K46)=0,"?",IF(K46&gt;=$F$7,"YES",IF(K46&gt;=40,"TIGHT","NO")))</f>
        <v/>
      </c>
      <c r="N46" s="15" t="n">
        <v>0</v>
      </c>
      <c r="O46" s="21" t="inlineStr">
        <is>
          <t>none</t>
        </is>
      </c>
      <c r="P46" s="16" t="inlineStr">
        <is>
          <t>Katia Zancheta</t>
        </is>
      </c>
      <c r="Q46" s="16" t="inlineStr">
        <is>
          <t>chavesnamao id-16203892</t>
        </is>
      </c>
      <c r="R46" s="16" t="inlineStr">
        <is>
          <t>97m2 (!) for R$2,300 all-in. R$150 condo = certainly no doorman, no lift. Enormous space. Stale-ID risk - verify.</t>
        </is>
      </c>
    </row>
    <row r="47">
      <c r="A47" s="16" t="inlineStr">
        <is>
          <t>Agua Branca</t>
        </is>
      </c>
      <c r="B47" s="16" t="inlineStr">
        <is>
          <t>CPTM L8</t>
        </is>
      </c>
      <c r="C47" s="16" t="inlineStr">
        <is>
          <t>Agua Branca</t>
        </is>
      </c>
      <c r="D47" s="15" t="n"/>
      <c r="E47" s="16" t="inlineStr">
        <is>
          <t>(agency listing)</t>
        </is>
      </c>
      <c r="F47" s="17" t="n">
        <v>1900</v>
      </c>
      <c r="G47" s="17" t="n">
        <v>450</v>
      </c>
      <c r="H47" s="17" t="n">
        <v>120</v>
      </c>
      <c r="I47" s="17">
        <f>IF(COUNT(F47,G47)&lt;2,"",F47+G47+H47)</f>
        <v/>
      </c>
      <c r="J47" s="15">
        <f>IF(COUNT(I47)=0,"no price",IF(I47&lt;=$F$5,"FITS",IF(I47&lt;=$F$6,"CLOSE","OVER")))</f>
        <v/>
      </c>
      <c r="K47" s="16" t="n">
        <v>43</v>
      </c>
      <c r="L47" s="20">
        <f>IFERROR(K47/2,"")</f>
        <v/>
      </c>
      <c r="M47" s="15">
        <f>IF(COUNT(K47)=0,"?",IF(K47&gt;=$F$7,"YES",IF(K47&gt;=40,"TIGHT","NO")))</f>
        <v/>
      </c>
      <c r="N47" s="15" t="n">
        <v>0</v>
      </c>
      <c r="O47" s="15" t="inlineStr">
        <is>
          <t>?</t>
        </is>
      </c>
      <c r="P47" s="16" t="inlineStr">
        <is>
          <t>Imperio Real</t>
        </is>
      </c>
      <c r="Q47" s="16" t="inlineStr">
        <is>
          <t>zoimovel /4504381/</t>
        </is>
      </c>
      <c r="R47" s="16" t="inlineStr"/>
    </row>
    <row r="48">
      <c r="A48" s="16" t="inlineStr">
        <is>
          <t>Vila Sonia</t>
        </is>
      </c>
      <c r="B48" s="16" t="inlineStr">
        <is>
          <t>L4-Amarela</t>
        </is>
      </c>
      <c r="C48" s="16" t="inlineStr">
        <is>
          <t>Vila Sonia ~5 min</t>
        </is>
      </c>
      <c r="D48" s="15" t="n">
        <v>5</v>
      </c>
      <c r="E48" s="16" t="inlineStr">
        <is>
          <t>Rua Grauca</t>
        </is>
      </c>
      <c r="F48" s="17" t="n">
        <v>1780</v>
      </c>
      <c r="G48" s="17" t="n">
        <v>700</v>
      </c>
      <c r="H48" s="17" t="n">
        <v>0</v>
      </c>
      <c r="I48" s="17">
        <f>IF(COUNT(F48,G48)&lt;2,"",F48+G48+H48)</f>
        <v/>
      </c>
      <c r="J48" s="15">
        <f>IF(COUNT(I48)=0,"no price",IF(I48&lt;=$F$5,"FITS",IF(I48&lt;=$F$6,"CLOSE","OVER")))</f>
        <v/>
      </c>
      <c r="K48" s="16" t="n">
        <v>35</v>
      </c>
      <c r="L48" s="20">
        <f>IFERROR(K48/2,"")</f>
        <v/>
      </c>
      <c r="M48" s="15">
        <f>IF(COUNT(K48)=0,"?",IF(K48&gt;=$F$7,"YES",IF(K48&gt;=40,"TIGHT","NO")))</f>
        <v/>
      </c>
      <c r="N48" s="15" t="n"/>
      <c r="O48" s="15" t="inlineStr">
        <is>
          <t>?</t>
        </is>
      </c>
      <c r="P48" s="16" t="inlineStr">
        <is>
          <t>QuintoAndar</t>
        </is>
      </c>
      <c r="Q48" s="16" t="inlineStr">
        <is>
          <t>chavesnamao id-46001473</t>
        </is>
      </c>
      <c r="R48" s="16" t="inlineStr">
        <is>
          <t>Best-verified walk in the corridor (~5 min, quoted). Condo R$700 on 35m2 implies real services - ASK if that includes portaria.</t>
        </is>
      </c>
    </row>
    <row r="49">
      <c r="A49" s="16" t="inlineStr">
        <is>
          <t>Jabaquara</t>
        </is>
      </c>
      <c r="B49" s="16" t="inlineStr">
        <is>
          <t>L1-Azul</t>
        </is>
      </c>
      <c r="C49" s="16" t="inlineStr">
        <is>
          <t>Conceicao</t>
        </is>
      </c>
      <c r="D49" s="15" t="n"/>
      <c r="E49" s="16" t="inlineStr">
        <is>
          <t>Rua Carlo Carra, 635</t>
        </is>
      </c>
      <c r="F49" s="17" t="n">
        <v>1950</v>
      </c>
      <c r="G49" s="17" t="n">
        <v>400</v>
      </c>
      <c r="H49" s="17" t="n">
        <v>120</v>
      </c>
      <c r="I49" s="17">
        <f>IF(COUNT(F49,G49)&lt;2,"",F49+G49+H49)</f>
        <v/>
      </c>
      <c r="J49" s="15">
        <f>IF(COUNT(I49)=0,"no price",IF(I49&lt;=$F$5,"FITS",IF(I49&lt;=$F$6,"CLOSE","OVER")))</f>
        <v/>
      </c>
      <c r="K49" s="16" t="n">
        <v>40</v>
      </c>
      <c r="L49" s="20">
        <f>IFERROR(K49/2,"")</f>
        <v/>
      </c>
      <c r="M49" s="15">
        <f>IF(COUNT(K49)=0,"?",IF(K49&gt;=$F$7,"YES",IF(K49&gt;=40,"TIGHT","NO")))</f>
        <v/>
      </c>
      <c r="N49" s="15" t="n"/>
      <c r="O49" s="22" t="inlineStr">
        <is>
          <t>24h ?</t>
        </is>
      </c>
      <c r="P49" s="16" t="inlineStr">
        <is>
          <t>Plima Imoveis CRECI 46223-J</t>
        </is>
      </c>
      <c r="Q49" s="16" t="inlineStr">
        <is>
          <t>chavesnamao id-45152299</t>
        </is>
      </c>
      <c r="R49" s="16" t="inlineStr">
        <is>
          <t>Lowest condo in the Conceicao catchment. 'Portaria' listed but 24h NOT stated - highest-value single phone call in the south.</t>
        </is>
      </c>
    </row>
    <row r="50">
      <c r="A50" s="16" t="inlineStr">
        <is>
          <t>Tucuruvi</t>
        </is>
      </c>
      <c r="B50" s="16" t="inlineStr">
        <is>
          <t>L1-Azul</t>
        </is>
      </c>
      <c r="C50" s="16" t="inlineStr">
        <is>
          <t>Tucuruvi</t>
        </is>
      </c>
      <c r="D50" s="15" t="n"/>
      <c r="E50" s="16" t="inlineStr">
        <is>
          <t>Av. Maestro Villa Lobos, 709</t>
        </is>
      </c>
      <c r="F50" s="17" t="n">
        <v>2100</v>
      </c>
      <c r="G50" s="17" t="n">
        <v>160</v>
      </c>
      <c r="H50" s="17" t="n">
        <v>50</v>
      </c>
      <c r="I50" s="17">
        <f>IF(COUNT(F50,G50)&lt;2,"",F50+G50+H50)</f>
        <v/>
      </c>
      <c r="J50" s="15">
        <f>IF(COUNT(I50)=0,"no price",IF(I50&lt;=$F$5,"FITS",IF(I50&lt;=$F$6,"CLOSE","OVER")))</f>
        <v/>
      </c>
      <c r="K50" s="16" t="n">
        <v>55</v>
      </c>
      <c r="L50" s="20">
        <f>IFERROR(K50/2,"")</f>
        <v/>
      </c>
      <c r="M50" s="15">
        <f>IF(COUNT(K50)=0,"?",IF(K50&gt;=$F$7,"YES",IF(K50&gt;=40,"TIGHT","NO")))</f>
        <v/>
      </c>
      <c r="N50" s="15" t="n">
        <v>0</v>
      </c>
      <c r="O50" s="21" t="inlineStr">
        <is>
          <t>none</t>
        </is>
      </c>
      <c r="P50" s="16" t="inlineStr">
        <is>
          <t>Plano</t>
        </is>
      </c>
      <c r="Q50" s="16" t="inlineStr">
        <is>
          <t>znimovel /4428434/</t>
        </is>
      </c>
      <c r="R50" s="16" t="inlineStr">
        <is>
          <t>55m2 + suite for R$2,310. Cond. fechado, no doorman. Tucuruvi = lowest condo in the city (median ~R$160) precisely because the stock has no services.</t>
        </is>
      </c>
    </row>
    <row r="51">
      <c r="A51" s="16" t="inlineStr">
        <is>
          <t>Liberdade</t>
        </is>
      </c>
      <c r="B51" s="16" t="inlineStr">
        <is>
          <t>L1/L3</t>
        </is>
      </c>
      <c r="C51" s="16" t="inlineStr">
        <is>
          <t>Vergueiro ~7 min</t>
        </is>
      </c>
      <c r="D51" s="15" t="n">
        <v>7</v>
      </c>
      <c r="E51" s="16" t="inlineStr">
        <is>
          <t>Rua Espirita</t>
        </is>
      </c>
      <c r="F51" s="17" t="n">
        <v>2038</v>
      </c>
      <c r="G51" s="17" t="n">
        <v>0</v>
      </c>
      <c r="H51" s="17" t="n">
        <v>459</v>
      </c>
      <c r="I51" s="17">
        <f>IF(COUNT(F51,G51)&lt;2,"",F51+G51+H51)</f>
        <v/>
      </c>
      <c r="J51" s="15">
        <f>IF(COUNT(I51)=0,"no price",IF(I51&lt;=$F$5,"FITS",IF(I51&lt;=$F$6,"CLOSE","OVER")))</f>
        <v/>
      </c>
      <c r="K51" s="16" t="n">
        <v>80</v>
      </c>
      <c r="L51" s="20">
        <f>IFERROR(K51/2,"")</f>
        <v/>
      </c>
      <c r="M51" s="15">
        <f>IF(COUNT(K51)=0,"?",IF(K51&gt;=$F$7,"YES",IF(K51&gt;=40,"TIGHT","NO")))</f>
        <v/>
      </c>
      <c r="N51" s="15" t="n"/>
      <c r="O51" s="21" t="inlineStr">
        <is>
          <t>none</t>
        </is>
      </c>
      <c r="P51" s="16" t="inlineStr">
        <is>
          <t>QuintoAndar</t>
        </is>
      </c>
      <c r="Q51" s="16" t="inlineStr">
        <is>
          <t>chavesnamao id-45078561</t>
        </is>
      </c>
      <c r="R51" s="16" t="inlineStr">
        <is>
          <t>80m2 - best m2-per-real in the centre. Zero condominio is REAL (verified) - which means no doorman, no staff, no lobby.</t>
        </is>
      </c>
    </row>
    <row r="52">
      <c r="A52" s="16" t="inlineStr">
        <is>
          <t>Bosque da Saude</t>
        </is>
      </c>
      <c r="B52" s="16" t="inlineStr">
        <is>
          <t>L1-Azul</t>
        </is>
      </c>
      <c r="C52" s="16" t="inlineStr">
        <is>
          <t>Saude/Sao Judas - WALK UNVERIFIED</t>
        </is>
      </c>
      <c r="D52" s="15" t="n"/>
      <c r="E52" s="16" t="inlineStr">
        <is>
          <t>Rua Chebl Massud</t>
        </is>
      </c>
      <c r="F52" s="17" t="n">
        <v>1920</v>
      </c>
      <c r="G52" s="17" t="n">
        <v>515</v>
      </c>
      <c r="H52" s="17" t="n">
        <v>0</v>
      </c>
      <c r="I52" s="17">
        <f>IF(COUNT(F52,G52)&lt;2,"",F52+G52+H52)</f>
        <v/>
      </c>
      <c r="J52" s="15">
        <f>IF(COUNT(I52)=0,"no price",IF(I52&lt;=$F$5,"FITS",IF(I52&lt;=$F$6,"CLOSE","OVER")))</f>
        <v/>
      </c>
      <c r="K52" s="16" t="n">
        <v>41</v>
      </c>
      <c r="L52" s="20">
        <f>IFERROR(K52/2,"")</f>
        <v/>
      </c>
      <c r="M52" s="15">
        <f>IF(COUNT(K52)=0,"?",IF(K52&gt;=$F$7,"YES",IF(K52&gt;=40,"TIGHT","NO")))</f>
        <v/>
      </c>
      <c r="N52" s="15" t="n">
        <v>1</v>
      </c>
      <c r="O52" s="15" t="inlineStr">
        <is>
          <t>?</t>
        </is>
      </c>
      <c r="P52" s="16" t="inlineStr">
        <is>
          <t>QuintoAndar</t>
        </is>
      </c>
      <c r="Q52" s="16" t="inlineStr">
        <is>
          <t>chavesnamao id-46820917</t>
        </is>
      </c>
      <c r="R52" s="16" t="inlineStr">
        <is>
          <t>Cheap, but most of Bosque da Saude is well over 10 min from a station - that is WHY it is cheap. Walk-test before viewing.</t>
        </is>
      </c>
    </row>
    <row r="53">
      <c r="A53" s="16" t="inlineStr">
        <is>
          <t>Parada Inglesa</t>
        </is>
      </c>
      <c r="B53" s="16" t="inlineStr">
        <is>
          <t>L1-Azul</t>
        </is>
      </c>
      <c r="C53" s="16" t="inlineStr">
        <is>
          <t>Parada Inglesa</t>
        </is>
      </c>
      <c r="D53" s="15" t="n"/>
      <c r="E53" s="16" t="inlineStr">
        <is>
          <t>(addr withheld)</t>
        </is>
      </c>
      <c r="F53" s="17" t="n">
        <v>2100</v>
      </c>
      <c r="G53" s="17" t="n">
        <v>178</v>
      </c>
      <c r="H53" s="17" t="n">
        <v>120</v>
      </c>
      <c r="I53" s="17">
        <f>IF(COUNT(F53,G53)&lt;2,"",F53+G53+H53)</f>
        <v/>
      </c>
      <c r="J53" s="15">
        <f>IF(COUNT(I53)=0,"no price",IF(I53&lt;=$F$5,"FITS",IF(I53&lt;=$F$6,"CLOSE","OVER")))</f>
        <v/>
      </c>
      <c r="K53" s="16" t="n">
        <v>43</v>
      </c>
      <c r="L53" s="20">
        <f>IFERROR(K53/2,"")</f>
        <v/>
      </c>
      <c r="M53" s="15">
        <f>IF(COUNT(K53)=0,"?",IF(K53&gt;=$F$7,"YES",IF(K53&gt;=40,"TIGHT","NO")))</f>
        <v/>
      </c>
      <c r="N53" s="15" t="n">
        <v>0</v>
      </c>
      <c r="O53" s="21" t="inlineStr">
        <is>
          <t>none</t>
        </is>
      </c>
      <c r="P53" s="16" t="inlineStr">
        <is>
          <t>Cimad</t>
        </is>
      </c>
      <c r="Q53" s="16" t="inlineStr">
        <is>
          <t>znimovel /4523854/</t>
        </is>
      </c>
      <c r="R53" s="16" t="inlineStr">
        <is>
          <t>100% FURNISHED - worth more than the R$120 premium for two people arriving with no furniture. (11) 2909-3434.</t>
        </is>
      </c>
    </row>
    <row r="54">
      <c r="A54" s="16" t="inlineStr">
        <is>
          <t>Aclimacao</t>
        </is>
      </c>
      <c r="B54" s="16" t="inlineStr">
        <is>
          <t>L1/L2</t>
        </is>
      </c>
      <c r="C54" s="16" t="inlineStr">
        <is>
          <t>Sao Joaquim ~8-10 min</t>
        </is>
      </c>
      <c r="D54" s="15" t="n">
        <v>9</v>
      </c>
      <c r="E54" s="16" t="inlineStr">
        <is>
          <t>Rua Bueno de Andrade</t>
        </is>
      </c>
      <c r="F54" s="17" t="n">
        <v>1950</v>
      </c>
      <c r="G54" s="17" t="n">
        <v>300</v>
      </c>
      <c r="H54" s="17" t="n">
        <v>180</v>
      </c>
      <c r="I54" s="17">
        <f>IF(COUNT(F54,G54)&lt;2,"",F54+G54+H54)</f>
        <v/>
      </c>
      <c r="J54" s="15">
        <f>IF(COUNT(I54)=0,"no price",IF(I54&lt;=$F$5,"FITS",IF(I54&lt;=$F$6,"CLOSE","OVER")))</f>
        <v/>
      </c>
      <c r="K54" s="16" t="n">
        <v>38</v>
      </c>
      <c r="L54" s="20">
        <f>IFERROR(K54/2,"")</f>
        <v/>
      </c>
      <c r="M54" s="15">
        <f>IF(COUNT(K54)=0,"?",IF(K54&gt;=$F$7,"YES",IF(K54&gt;=40,"TIGHT","NO")))</f>
        <v/>
      </c>
      <c r="N54" s="15" t="n"/>
      <c r="O54" s="21" t="inlineStr">
        <is>
          <t>none</t>
        </is>
      </c>
      <c r="P54" s="16" t="inlineStr">
        <is>
          <t>QuintoAndar</t>
        </is>
      </c>
      <c r="Q54" s="16" t="inlineStr">
        <is>
          <t>chavesnamao id-46711337</t>
        </is>
      </c>
      <c r="R54" s="16" t="inlineStr">
        <is>
          <t>East end (toward Parque da Aclimacao) is calm residential; west end toward Gloria is grittier. GET THE STREET NUMBER.</t>
        </is>
      </c>
    </row>
    <row r="55">
      <c r="A55" s="16" t="inlineStr">
        <is>
          <t>Tucuruvi</t>
        </is>
      </c>
      <c r="B55" s="16" t="inlineStr">
        <is>
          <t>L1-Azul</t>
        </is>
      </c>
      <c r="C55" s="16" t="inlineStr">
        <is>
          <t>Tucuruvi 11 min</t>
        </is>
      </c>
      <c r="D55" s="15" t="n">
        <v>11</v>
      </c>
      <c r="E55" s="16" t="inlineStr">
        <is>
          <t>Av. Nova Cantareira</t>
        </is>
      </c>
      <c r="F55" s="17" t="n">
        <v>1850</v>
      </c>
      <c r="G55" s="17" t="n">
        <v>450</v>
      </c>
      <c r="H55" s="17" t="n">
        <v>116</v>
      </c>
      <c r="I55" s="17">
        <f>IF(COUNT(F55,G55)&lt;2,"",F55+G55+H55)</f>
        <v/>
      </c>
      <c r="J55" s="15">
        <f>IF(COUNT(I55)=0,"no price",IF(I55&lt;=$F$5,"FITS",IF(I55&lt;=$F$6,"CLOSE","OVER")))</f>
        <v/>
      </c>
      <c r="K55" s="16" t="n">
        <v>55</v>
      </c>
      <c r="L55" s="20">
        <f>IFERROR(K55/2,"")</f>
        <v/>
      </c>
      <c r="M55" s="15">
        <f>IF(COUNT(K55)=0,"?",IF(K55&gt;=$F$7,"YES",IF(K55&gt;=40,"TIGHT","NO")))</f>
        <v/>
      </c>
      <c r="N55" s="15" t="n">
        <v>1</v>
      </c>
      <c r="O55" s="15" t="inlineStr">
        <is>
          <t>?</t>
        </is>
      </c>
      <c r="P55" s="16" t="inlineStr">
        <is>
          <t>Joia</t>
        </is>
      </c>
      <c r="Q55" s="16" t="inlineStr">
        <is>
          <t>znimovel /4442786/</t>
        </is>
      </c>
      <c r="R55" s="16" t="inlineStr">
        <is>
          <t>55m2 + suite. 11-min walk just breaks the rule.</t>
        </is>
      </c>
    </row>
    <row r="56">
      <c r="A56" s="16" t="inlineStr">
        <is>
          <t>Bela Vista  [AVOID]</t>
        </is>
      </c>
      <c r="B56" s="16" t="inlineStr">
        <is>
          <t>L3-Vermelha</t>
        </is>
      </c>
      <c r="C56" s="16" t="inlineStr">
        <is>
          <t>Anhangabau ~7 min</t>
        </is>
      </c>
      <c r="D56" s="15" t="n">
        <v>7</v>
      </c>
      <c r="E56" s="16" t="inlineStr">
        <is>
          <t>Avenida Nove de Julho, 254</t>
        </is>
      </c>
      <c r="F56" s="17" t="n">
        <v>1500</v>
      </c>
      <c r="G56" s="17" t="n">
        <v>815</v>
      </c>
      <c r="H56" s="17" t="n">
        <v>155</v>
      </c>
      <c r="I56" s="17">
        <f>IF(COUNT(F56,G56)&lt;2,"",F56+G56+H56)</f>
        <v/>
      </c>
      <c r="J56" s="15">
        <f>IF(COUNT(I56)=0,"no price",IF(I56&lt;=$F$5,"FITS",IF(I56&lt;=$F$6,"CLOSE","OVER")))</f>
        <v/>
      </c>
      <c r="K56" s="16" t="n">
        <v>50</v>
      </c>
      <c r="L56" s="20">
        <f>IFERROR(K56/2,"")</f>
        <v/>
      </c>
      <c r="M56" s="15">
        <f>IF(COUNT(K56)=0,"?",IF(K56&gt;=$F$7,"YES",IF(K56&gt;=40,"TIGHT","NO")))</f>
        <v/>
      </c>
      <c r="N56" s="15" t="n">
        <v>1</v>
      </c>
      <c r="O56" s="21" t="inlineStr">
        <is>
          <t>VIRTUAL</t>
        </is>
      </c>
      <c r="P56" s="16" t="inlineStr">
        <is>
          <t>FONSI</t>
        </is>
      </c>
      <c r="Q56" s="16" t="inlineStr">
        <is>
          <t>chavesnamao id-23876491</t>
        </is>
      </c>
      <c r="R56" s="16" t="inlineStr">
        <is>
          <t>*** PORTARIA VIRTUAL - a camera and an intercom to a call centre, NOT a doorman. Also the sunken Centro end of Nove de Julho: expressway corridor, underpasses, no residential foot traffic after dark. Cheapest Bela Vista listing, and the price is telling you why.</t>
        </is>
      </c>
    </row>
    <row r="57">
      <c r="A57" s="16" t="inlineStr">
        <is>
          <t>Jurubatuba</t>
        </is>
      </c>
      <c r="B57" s="16" t="inlineStr">
        <is>
          <t>CPTM L9</t>
        </is>
      </c>
      <c r="C57" s="16" t="inlineStr">
        <is>
          <t>Jurubatuba</t>
        </is>
      </c>
      <c r="D57" s="15" t="n"/>
      <c r="E57" s="16" t="inlineStr">
        <is>
          <t>Av. Eng. Eusebio Stevaux</t>
        </is>
      </c>
      <c r="F57" s="17" t="n">
        <v>1940</v>
      </c>
      <c r="G57" s="17" t="n"/>
      <c r="H57" s="17">
        <f>$F$4</f>
        <v/>
      </c>
      <c r="I57" s="17">
        <f>IF(COUNT(F57,G57)&lt;2,"",F57+G57+H57)</f>
        <v/>
      </c>
      <c r="J57" s="15">
        <f>IF(COUNT(I57)=0,"no price",IF(I57&lt;=$F$5,"FITS",IF(I57&lt;=$F$6,"CLOSE","OVER")))</f>
        <v/>
      </c>
      <c r="K57" s="16" t="n">
        <v>38</v>
      </c>
      <c r="L57" s="20">
        <f>IFERROR(K57/2,"")</f>
        <v/>
      </c>
      <c r="M57" s="15">
        <f>IF(COUNT(K57)=0,"?",IF(K57&gt;=$F$7,"YES",IF(K57&gt;=40,"TIGHT","NO")))</f>
        <v/>
      </c>
      <c r="N57" s="15" t="n"/>
      <c r="O57" s="15" t="inlineStr">
        <is>
          <t>?</t>
        </is>
      </c>
      <c r="P57" s="16" t="inlineStr">
        <is>
          <t>QuintoAndar</t>
        </is>
      </c>
      <c r="Q57" s="16" t="inlineStr">
        <is>
          <t>quintoandar</t>
        </is>
      </c>
      <c r="R57" s="16" t="inlineStr">
        <is>
          <t>R$2,496 all-in per researcher. Campo Grande district crime is 44% BELOW city average - the best hard crime number on that corridor. But industrial; footfall dies after 22:30.</t>
        </is>
      </c>
    </row>
    <row r="58">
      <c r="A58" s="16" t="inlineStr">
        <is>
          <t>Santo Amaro</t>
        </is>
      </c>
      <c r="B58" s="16" t="inlineStr">
        <is>
          <t>CPTM L9 + Metro L5</t>
        </is>
      </c>
      <c r="C58" s="16" t="inlineStr">
        <is>
          <t>Santo Amaro</t>
        </is>
      </c>
      <c r="D58" s="15" t="n"/>
      <c r="E58" s="16" t="inlineStr">
        <is>
          <t>Rua Brasilio Luz</t>
        </is>
      </c>
      <c r="F58" s="17" t="n">
        <v>1940</v>
      </c>
      <c r="G58" s="17" t="n"/>
      <c r="H58" s="17">
        <f>$F$4</f>
        <v/>
      </c>
      <c r="I58" s="17">
        <f>IF(COUNT(F58,G58)&lt;2,"",F58+G58+H58)</f>
        <v/>
      </c>
      <c r="J58" s="15">
        <f>IF(COUNT(I58)=0,"no price",IF(I58&lt;=$F$5,"FITS",IF(I58&lt;=$F$6,"CLOSE","OVER")))</f>
        <v/>
      </c>
      <c r="K58" s="16" t="n">
        <v>58</v>
      </c>
      <c r="L58" s="20">
        <f>IFERROR(K58/2,"")</f>
        <v/>
      </c>
      <c r="M58" s="15">
        <f>IF(COUNT(K58)=0,"?",IF(K58&gt;=$F$7,"YES",IF(K58&gt;=40,"TIGHT","NO")))</f>
        <v/>
      </c>
      <c r="N58" s="15" t="n"/>
      <c r="O58" s="15" t="inlineStr">
        <is>
          <t>?</t>
        </is>
      </c>
      <c r="P58" s="16" t="inlineStr">
        <is>
          <t>QuintoAndar</t>
        </is>
      </c>
      <c r="Q58" s="16" t="inlineStr">
        <is>
          <t>quintoandar</t>
        </is>
      </c>
      <c r="R58" s="16" t="inlineStr">
        <is>
          <t>58m2 at ~R$2,295 all-in. Genuine space. But Santo Amaro is #2 in the CITY for rising phone robbery (+34%).</t>
        </is>
      </c>
    </row>
    <row r="59">
      <c r="A59" s="16" t="inlineStr">
        <is>
          <t>Jabaquara</t>
        </is>
      </c>
      <c r="B59" s="16" t="inlineStr">
        <is>
          <t>L1-Azul</t>
        </is>
      </c>
      <c r="C59" s="16" t="inlineStr">
        <is>
          <t>Conceicao / Jabaquara</t>
        </is>
      </c>
      <c r="D59" s="15" t="n"/>
      <c r="E59" s="16" t="inlineStr">
        <is>
          <t>Rua Alba</t>
        </is>
      </c>
      <c r="F59" s="17" t="n">
        <v>1900</v>
      </c>
      <c r="G59" s="17" t="n">
        <v>650</v>
      </c>
      <c r="H59" s="17" t="n">
        <v>120</v>
      </c>
      <c r="I59" s="17">
        <f>IF(COUNT(F59,G59)&lt;2,"",F59+G59+H59)</f>
        <v/>
      </c>
      <c r="J59" s="15">
        <f>IF(COUNT(I59)=0,"no price",IF(I59&lt;=$F$5,"FITS",IF(I59&lt;=$F$6,"CLOSE","OVER")))</f>
        <v/>
      </c>
      <c r="K59" s="16" t="n">
        <v>47</v>
      </c>
      <c r="L59" s="20">
        <f>IFERROR(K59/2,"")</f>
        <v/>
      </c>
      <c r="M59" s="15">
        <f>IF(COUNT(K59)=0,"?",IF(K59&gt;=$F$7,"YES",IF(K59&gt;=40,"TIGHT","NO")))</f>
        <v/>
      </c>
      <c r="N59" s="15" t="n">
        <v>1</v>
      </c>
      <c r="O59" s="15" t="inlineStr">
        <is>
          <t>?</t>
        </is>
      </c>
      <c r="P59" s="16" t="inlineStr">
        <is>
          <t>QuintoAndar</t>
        </is>
      </c>
      <c r="Q59" s="16" t="inlineStr">
        <is>
          <t>chavesnamao id-45985407</t>
        </is>
      </c>
      <c r="R59" s="16" t="inlineStr">
        <is>
          <t>Best balance in the Conceicao grid. Quiet tree-lined residential west of Av. Arruda Pereira.</t>
        </is>
      </c>
    </row>
    <row r="60">
      <c r="A60" s="16" t="inlineStr">
        <is>
          <t>Rio Pequeno</t>
        </is>
      </c>
      <c r="B60" s="16" t="inlineStr">
        <is>
          <t>BUS to Butanta - FAILS walk</t>
        </is>
      </c>
      <c r="C60" s="16" t="inlineStr">
        <is>
          <t>Butanta ~3.4km</t>
        </is>
      </c>
      <c r="D60" s="15" t="n">
        <v>50</v>
      </c>
      <c r="E60" s="16" t="inlineStr">
        <is>
          <t>Avenida do Rio Pequeno, 499</t>
        </is>
      </c>
      <c r="F60" s="17" t="n">
        <v>1990</v>
      </c>
      <c r="G60" s="17" t="n">
        <v>510</v>
      </c>
      <c r="H60" s="17" t="n">
        <v>155</v>
      </c>
      <c r="I60" s="17">
        <f>IF(COUNT(F60,G60)&lt;2,"",F60+G60+H60)</f>
        <v/>
      </c>
      <c r="J60" s="15">
        <f>IF(COUNT(I60)=0,"no price",IF(I60&lt;=$F$5,"FITS",IF(I60&lt;=$F$6,"CLOSE","OVER")))</f>
        <v/>
      </c>
      <c r="K60" s="16" t="n">
        <v>50</v>
      </c>
      <c r="L60" s="20">
        <f>IFERROR(K60/2,"")</f>
        <v/>
      </c>
      <c r="M60" s="15">
        <f>IF(COUNT(K60)=0,"?",IF(K60&gt;=$F$7,"YES",IF(K60&gt;=40,"TIGHT","NO")))</f>
        <v/>
      </c>
      <c r="N60" s="15" t="n">
        <v>1</v>
      </c>
      <c r="O60" s="21" t="inlineStr">
        <is>
          <t>none</t>
        </is>
      </c>
      <c r="P60" s="16" t="inlineStr">
        <is>
          <t>Direct House</t>
        </is>
      </c>
      <c r="Q60" s="16" t="inlineStr">
        <is>
          <t>chavesnamao / zoimovel 4502847</t>
        </is>
      </c>
      <c r="R60" s="16" t="inlineStr">
        <is>
          <t>*** WARNING: Direct House requires PROVEN FAMILY INCOME OF R$8,000. Also geo-checked at 3.35-4.5km from Butanta metro (~50-70 min walk) despite marketing. Rio Pequeno district is the SAFEST found (1,704/100k, 55% below city avg) but it fails the walk rule outright.</t>
        </is>
      </c>
    </row>
    <row r="61">
      <c r="A61" s="16" t="inlineStr">
        <is>
          <t>Vila Sonia</t>
        </is>
      </c>
      <c r="B61" s="16" t="inlineStr">
        <is>
          <t>L4-Amarela</t>
        </is>
      </c>
      <c r="C61" s="16" t="inlineStr">
        <is>
          <t>Vila Sonia ~5 min</t>
        </is>
      </c>
      <c r="D61" s="15" t="n">
        <v>5</v>
      </c>
      <c r="E61" s="16" t="inlineStr">
        <is>
          <t>Rua Grauca</t>
        </is>
      </c>
      <c r="F61" s="17" t="n">
        <v>2000</v>
      </c>
      <c r="G61" s="17" t="n">
        <v>513</v>
      </c>
      <c r="H61" s="17" t="n">
        <v>32</v>
      </c>
      <c r="I61" s="17">
        <f>IF(COUNT(F61,G61)&lt;2,"",F61+G61+H61)</f>
        <v/>
      </c>
      <c r="J61" s="15">
        <f>IF(COUNT(I61)=0,"no price",IF(I61&lt;=$F$5,"FITS",IF(I61&lt;=$F$6,"CLOSE","OVER")))</f>
        <v/>
      </c>
      <c r="K61" s="16" t="n">
        <v>29</v>
      </c>
      <c r="L61" s="20">
        <f>IFERROR(K61/2,"")</f>
        <v/>
      </c>
      <c r="M61" s="15">
        <f>IF(COUNT(K61)=0,"?",IF(K61&gt;=$F$7,"YES",IF(K61&gt;=40,"TIGHT","NO")))</f>
        <v/>
      </c>
      <c r="N61" s="15" t="n"/>
      <c r="O61" s="15" t="inlineStr">
        <is>
          <t>?</t>
        </is>
      </c>
      <c r="P61" s="16" t="inlineStr">
        <is>
          <t>QuintoAndar</t>
        </is>
      </c>
      <c r="Q61" s="16" t="inlineStr">
        <is>
          <t>chavesnamao id-46744106</t>
        </is>
      </c>
      <c r="R61" s="16" t="inlineStr">
        <is>
          <t>29m2.</t>
        </is>
      </c>
    </row>
    <row r="62">
      <c r="A62" s="16" t="inlineStr">
        <is>
          <t>Butanta</t>
        </is>
      </c>
      <c r="B62" s="16" t="inlineStr">
        <is>
          <t>L4-Amarela</t>
        </is>
      </c>
      <c r="C62" s="16" t="inlineStr">
        <is>
          <t>Butanta - WALK UNVERIFIED</t>
        </is>
      </c>
      <c r="D62" s="15" t="n"/>
      <c r="E62" s="16" t="inlineStr">
        <is>
          <t>Cond. Mansao dos Estudantes, R. Manuel Alonso Esteves 47</t>
        </is>
      </c>
      <c r="F62" s="17" t="n">
        <v>1900</v>
      </c>
      <c r="G62" s="17" t="n">
        <v>510</v>
      </c>
      <c r="H62" s="17" t="n">
        <v>120</v>
      </c>
      <c r="I62" s="17">
        <f>IF(COUNT(F62,G62)&lt;2,"",F62+G62+H62)</f>
        <v/>
      </c>
      <c r="J62" s="15">
        <f>IF(COUNT(I62)=0,"no price",IF(I62&lt;=$F$5,"FITS",IF(I62&lt;=$F$6,"CLOSE","OVER")))</f>
        <v/>
      </c>
      <c r="K62" s="16" t="n">
        <v>50</v>
      </c>
      <c r="L62" s="20">
        <f>IFERROR(K62/2,"")</f>
        <v/>
      </c>
      <c r="M62" s="15">
        <f>IF(COUNT(K62)=0,"?",IF(K62&gt;=$F$7,"YES",IF(K62&gt;=40,"TIGHT","NO")))</f>
        <v/>
      </c>
      <c r="N62" s="15" t="n">
        <v>1</v>
      </c>
      <c r="O62" s="21" t="inlineStr">
        <is>
          <t>none</t>
        </is>
      </c>
      <c r="P62" s="16" t="inlineStr">
        <is>
          <t>Ilumina Imoveis</t>
        </is>
      </c>
      <c r="Q62" s="16" t="inlineStr">
        <is>
          <t>(11) 96818-1084 / zoimovel 4503419</t>
        </is>
      </c>
      <c r="R62" s="16" t="inlineStr">
        <is>
          <t>*** ALSO NOTE: Butanta district has a robbery rate of 1,400/100k - HIGHER than Itaim Bibi's 1,303, the worst of any non-central district checked - and it is on Linha 4 with no Saturday night service. Researcher opened the detail page: NO porteiro, portaria, zelador, seguranca or lift mentioned anywhere. Student building, high turnover. Also indexed under 'Jardim Esmeralda ZO' CEP 05589-020, not central Butanta - the 'proximo ao Metro Butanta' is marketing. STRUCK on the 1am test.</t>
        </is>
      </c>
    </row>
    <row r="63">
      <c r="A63" s="16" t="inlineStr">
        <is>
          <t>Sacoma  [AVOID]</t>
        </is>
      </c>
      <c r="B63" s="16" t="inlineStr">
        <is>
          <t>L2-Verde</t>
        </is>
      </c>
      <c r="C63" s="16" t="inlineStr">
        <is>
          <t>Sacoma</t>
        </is>
      </c>
      <c r="D63" s="15" t="n"/>
      <c r="E63" s="16" t="inlineStr">
        <is>
          <t>(addr withheld)</t>
        </is>
      </c>
      <c r="F63" s="17" t="n">
        <v>1903</v>
      </c>
      <c r="G63" s="17" t="n">
        <v>736</v>
      </c>
      <c r="H63" s="17" t="n">
        <v>0</v>
      </c>
      <c r="I63" s="17">
        <f>IF(COUNT(F63,G63)&lt;2,"",F63+G63+H63)</f>
        <v/>
      </c>
      <c r="J63" s="15">
        <f>IF(COUNT(I63)=0,"no price",IF(I63&lt;=$F$5,"FITS",IF(I63&lt;=$F$6,"CLOSE","OVER")))</f>
        <v/>
      </c>
      <c r="K63" s="16" t="n">
        <v>34</v>
      </c>
      <c r="L63" s="20">
        <f>IFERROR(K63/2,"")</f>
        <v/>
      </c>
      <c r="M63" s="15">
        <f>IF(COUNT(K63)=0,"?",IF(K63&gt;=$F$7,"YES",IF(K63&gt;=40,"TIGHT","NO")))</f>
        <v/>
      </c>
      <c r="N63" s="15" t="n"/>
      <c r="O63" s="15" t="inlineStr">
        <is>
          <t>?</t>
        </is>
      </c>
      <c r="P63" s="16" t="inlineStr">
        <is>
          <t>QuintoAndar</t>
        </is>
      </c>
      <c r="Q63" s="16" t="inlineStr">
        <is>
          <t>chavesnamao id-45761833</t>
        </is>
      </c>
      <c r="R63" s="16" t="inlineStr">
        <is>
          <t>'Ao lado do metro Sacoma' - best-documented walk of the cheap group. BUT Sacoma scores 32% resident safety, borders Heliopolis, and a resident reports 'rua falta luz direto... usuarios de drogas de monte'. NOT recommended.</t>
        </is>
      </c>
    </row>
    <row r="64">
      <c r="A64" s="16" t="inlineStr">
        <is>
          <t>Santana</t>
        </is>
      </c>
      <c r="B64" s="16" t="inlineStr">
        <is>
          <t>L1-Azul</t>
        </is>
      </c>
      <c r="C64" s="16" t="inlineStr">
        <is>
          <t>Santana</t>
        </is>
      </c>
      <c r="D64" s="15" t="n"/>
      <c r="E64" s="16" t="inlineStr">
        <is>
          <t>Rua Doutor Zuquim, 936</t>
        </is>
      </c>
      <c r="F64" s="17" t="n">
        <v>2195</v>
      </c>
      <c r="G64" s="17" t="n">
        <v>200</v>
      </c>
      <c r="H64" s="17" t="n">
        <v>70</v>
      </c>
      <c r="I64" s="17">
        <f>IF(COUNT(F64,G64)&lt;2,"",F64+G64+H64)</f>
        <v/>
      </c>
      <c r="J64" s="15">
        <f>IF(COUNT(I64)=0,"no price",IF(I64&lt;=$F$5,"FITS",IF(I64&lt;=$F$6,"CLOSE","OVER")))</f>
        <v/>
      </c>
      <c r="K64" s="16" t="n">
        <v>80</v>
      </c>
      <c r="L64" s="20">
        <f>IFERROR(K64/2,"")</f>
        <v/>
      </c>
      <c r="M64" s="15">
        <f>IF(COUNT(K64)=0,"?",IF(K64&gt;=$F$7,"YES",IF(K64&gt;=40,"TIGHT","NO")))</f>
        <v/>
      </c>
      <c r="N64" s="15" t="n">
        <v>1</v>
      </c>
      <c r="O64" s="15" t="inlineStr">
        <is>
          <t>?</t>
        </is>
      </c>
      <c r="P64" s="16" t="inlineStr">
        <is>
          <t>INL Novolar</t>
        </is>
      </c>
      <c r="Q64" s="16" t="inlineStr">
        <is>
          <t>(11) 2977-4000 / znimovel 3334931</t>
        </is>
      </c>
      <c r="R64" s="16" t="inlineStr">
        <is>
          <t>80m2 (!) for R$2,465 all-in on Santana's commercial spine.</t>
        </is>
      </c>
    </row>
    <row r="65">
      <c r="A65" s="16" t="inlineStr">
        <is>
          <t>Tucuruvi</t>
        </is>
      </c>
      <c r="B65" s="16" t="inlineStr">
        <is>
          <t>L1-Azul</t>
        </is>
      </c>
      <c r="C65" s="16" t="inlineStr">
        <is>
          <t>Tucuruvi ~10 min</t>
        </is>
      </c>
      <c r="D65" s="15" t="n">
        <v>10</v>
      </c>
      <c r="E65" s="16" t="inlineStr">
        <is>
          <t>(addr withheld)</t>
        </is>
      </c>
      <c r="F65" s="17" t="n">
        <v>2300</v>
      </c>
      <c r="G65" s="17" t="n">
        <v>200</v>
      </c>
      <c r="H65" s="17" t="n">
        <v>60</v>
      </c>
      <c r="I65" s="17">
        <f>IF(COUNT(F65,G65)&lt;2,"",F65+G65+H65)</f>
        <v/>
      </c>
      <c r="J65" s="15">
        <f>IF(COUNT(I65)=0,"no price",IF(I65&lt;=$F$5,"FITS",IF(I65&lt;=$F$6,"CLOSE","OVER")))</f>
        <v/>
      </c>
      <c r="K65" s="16" t="n">
        <v>50</v>
      </c>
      <c r="L65" s="20">
        <f>IFERROR(K65/2,"")</f>
        <v/>
      </c>
      <c r="M65" s="15">
        <f>IF(COUNT(K65)=0,"?",IF(K65&gt;=$F$7,"YES",IF(K65&gt;=40,"TIGHT","NO")))</f>
        <v/>
      </c>
      <c r="N65" s="15" t="n">
        <v>1</v>
      </c>
      <c r="O65" s="15" t="inlineStr">
        <is>
          <t>?</t>
        </is>
      </c>
      <c r="P65" s="16" t="inlineStr">
        <is>
          <t>Marcio Laet</t>
        </is>
      </c>
      <c r="Q65" s="16" t="inlineStr">
        <is>
          <t>(11) 96368-4187 / znimovel 4299619</t>
        </is>
      </c>
      <c r="R65" s="16" t="inlineStr"/>
    </row>
    <row r="66">
      <c r="A66" s="16" t="inlineStr">
        <is>
          <t>Butanta</t>
        </is>
      </c>
      <c r="B66" s="16" t="inlineStr">
        <is>
          <t>L4-Amarela</t>
        </is>
      </c>
      <c r="C66" s="16" t="inlineStr">
        <is>
          <t>Butanta - walk unverified</t>
        </is>
      </c>
      <c r="D66" s="15" t="n"/>
      <c r="E66" s="16" t="inlineStr">
        <is>
          <t>Rua Antonio de Almeida Naves</t>
        </is>
      </c>
      <c r="F66" s="17" t="n">
        <v>2200</v>
      </c>
      <c r="G66" s="17" t="n">
        <v>401</v>
      </c>
      <c r="H66" s="17" t="n">
        <v>0</v>
      </c>
      <c r="I66" s="17">
        <f>IF(COUNT(F66,G66)&lt;2,"",F66+G66+H66)</f>
        <v/>
      </c>
      <c r="J66" s="15">
        <f>IF(COUNT(I66)=0,"no price",IF(I66&lt;=$F$5,"FITS",IF(I66&lt;=$F$6,"CLOSE","OVER")))</f>
        <v/>
      </c>
      <c r="K66" s="16" t="n">
        <v>42</v>
      </c>
      <c r="L66" s="20">
        <f>IFERROR(K66/2,"")</f>
        <v/>
      </c>
      <c r="M66" s="15">
        <f>IF(COUNT(K66)=0,"?",IF(K66&gt;=$F$7,"YES",IF(K66&gt;=40,"TIGHT","NO")))</f>
        <v/>
      </c>
      <c r="N66" s="15" t="n"/>
      <c r="O66" s="15" t="inlineStr">
        <is>
          <t>?</t>
        </is>
      </c>
      <c r="P66" s="16" t="inlineStr">
        <is>
          <t>QuintoAndar</t>
        </is>
      </c>
      <c r="Q66" s="16" t="inlineStr">
        <is>
          <t>chavesnamao id-46463255</t>
        </is>
      </c>
      <c r="R66" s="16" t="inlineStr">
        <is>
          <t>Has piscina/academia/salao so it IS a serviced building - ask about portaria. Located out toward Cidade dos Bandeirantes.</t>
        </is>
      </c>
    </row>
    <row r="67">
      <c r="A67" s="16" t="inlineStr">
        <is>
          <t>Cambuci</t>
        </is>
      </c>
      <c r="B67" s="16" t="inlineStr">
        <is>
          <t>L1-Azul</t>
        </is>
      </c>
      <c r="C67" s="16" t="inlineStr">
        <is>
          <t>Sao Joaquim ~12-15 min - marginal</t>
        </is>
      </c>
      <c r="D67" s="15" t="n">
        <v>13</v>
      </c>
      <c r="E67" s="16" t="inlineStr">
        <is>
          <t>Praca Alberto Lion</t>
        </is>
      </c>
      <c r="F67" s="17" t="n">
        <v>2000</v>
      </c>
      <c r="G67" s="17" t="n">
        <v>440</v>
      </c>
      <c r="H67" s="17" t="n">
        <v>120</v>
      </c>
      <c r="I67" s="17">
        <f>IF(COUNT(F67,G67)&lt;2,"",F67+G67+H67)</f>
        <v/>
      </c>
      <c r="J67" s="15">
        <f>IF(COUNT(I67)=0,"no price",IF(I67&lt;=$F$5,"FITS",IF(I67&lt;=$F$6,"CLOSE","OVER")))</f>
        <v/>
      </c>
      <c r="K67" s="16" t="n">
        <v>35</v>
      </c>
      <c r="L67" s="20">
        <f>IFERROR(K67/2,"")</f>
        <v/>
      </c>
      <c r="M67" s="15">
        <f>IF(COUNT(K67)=0,"?",IF(K67&gt;=$F$7,"YES",IF(K67&gt;=40,"TIGHT","NO")))</f>
        <v/>
      </c>
      <c r="N67" s="15" t="n"/>
      <c r="O67" s="15" t="inlineStr">
        <is>
          <t>?</t>
        </is>
      </c>
      <c r="P67" s="16" t="inlineStr">
        <is>
          <t>QuintoAndar</t>
        </is>
      </c>
      <c r="Q67" s="16" t="inlineStr">
        <is>
          <t>chavesnamao id-46479793</t>
        </is>
      </c>
      <c r="R67" s="16" t="inlineStr">
        <is>
          <t>Quiet - but DEAD quiet after 22h. Low footfall is its own risk.</t>
        </is>
      </c>
    </row>
    <row r="68">
      <c r="A68" s="16" t="inlineStr">
        <is>
          <t>Santana</t>
        </is>
      </c>
      <c r="B68" s="16" t="inlineStr">
        <is>
          <t>L1-Azul</t>
        </is>
      </c>
      <c r="C68" s="16" t="inlineStr">
        <is>
          <t>Santana</t>
        </is>
      </c>
      <c r="D68" s="15" t="n"/>
      <c r="E68" s="16" t="inlineStr">
        <is>
          <t>Rua Voluntarios da Patria, 499</t>
        </is>
      </c>
      <c r="F68" s="17" t="n">
        <v>1995</v>
      </c>
      <c r="G68" s="17" t="n">
        <v>499</v>
      </c>
      <c r="H68" s="17" t="n">
        <v>100</v>
      </c>
      <c r="I68" s="17">
        <f>IF(COUNT(F68,G68)&lt;2,"",F68+G68+H68)</f>
        <v/>
      </c>
      <c r="J68" s="15">
        <f>IF(COUNT(I68)=0,"no price",IF(I68&lt;=$F$5,"FITS",IF(I68&lt;=$F$6,"CLOSE","OVER")))</f>
        <v/>
      </c>
      <c r="K68" s="16" t="n">
        <v>37</v>
      </c>
      <c r="L68" s="20">
        <f>IFERROR(K68/2,"")</f>
        <v/>
      </c>
      <c r="M68" s="15">
        <f>IF(COUNT(K68)=0,"?",IF(K68&gt;=$F$7,"YES",IF(K68&gt;=40,"TIGHT","NO")))</f>
        <v/>
      </c>
      <c r="N68" s="15" t="n">
        <v>1</v>
      </c>
      <c r="O68" s="22" t="inlineStr">
        <is>
          <t>24h ?</t>
        </is>
      </c>
      <c r="P68" s="16" t="inlineStr">
        <is>
          <t>INL Novolar</t>
        </is>
      </c>
      <c r="Q68" s="16" t="inlineStr">
        <is>
          <t>(11) 2977-4000 / znimovel 4464552</t>
        </is>
      </c>
      <c r="R68" s="16" t="inlineStr">
        <is>
          <t>'Portaria + interfone' (24h unconfirmed) + piscina/academia/sauna at R$2,594. Worth a call.</t>
        </is>
      </c>
    </row>
    <row r="69">
      <c r="A69" s="16" t="inlineStr">
        <is>
          <t>Vila Mariana  [PRICED OUT]</t>
        </is>
      </c>
      <c r="B69" s="16" t="inlineStr">
        <is>
          <t>L1+L2</t>
        </is>
      </c>
      <c r="C69" s="16" t="inlineStr">
        <is>
          <t>Ana Rosa / Vila Mariana</t>
        </is>
      </c>
      <c r="D69" s="15" t="n"/>
      <c r="E69" s="16" t="inlineStr">
        <is>
          <t>(market reference)</t>
        </is>
      </c>
      <c r="F69" s="17" t="n">
        <v>2200</v>
      </c>
      <c r="G69" s="17" t="n">
        <v>981</v>
      </c>
      <c r="H69" s="17" t="n">
        <v>120</v>
      </c>
      <c r="I69" s="17">
        <f>IF(COUNT(F69,G69)&lt;2,"",F69+G69+H69)</f>
        <v/>
      </c>
      <c r="J69" s="15">
        <f>IF(COUNT(I69)=0,"no price",IF(I69&lt;=$F$5,"FITS",IF(I69&lt;=$F$6,"CLOSE","OVER")))</f>
        <v/>
      </c>
      <c r="K69" s="16" t="n"/>
      <c r="L69" s="20">
        <f>IFERROR(K69/2,"")</f>
        <v/>
      </c>
      <c r="M69" s="15">
        <f>IF(COUNT(K69)=0,"?",IF(K69&gt;=$F$7,"YES",IF(K69&gt;=40,"TIGHT","NO")))</f>
        <v/>
      </c>
      <c r="N69" s="15" t="n"/>
      <c r="O69" s="15" t="inlineStr">
        <is>
          <t>?</t>
        </is>
      </c>
      <c r="P69" s="16" t="inlineStr">
        <is>
          <t>-</t>
        </is>
      </c>
      <c r="Q69" s="16" t="inlineStr">
        <is>
          <t>chavesnamao</t>
        </is>
      </c>
      <c r="R69" s="16" t="inlineStr">
        <is>
          <t>VILA MARIANA IS OUT: 0 of 13 sampled fit. It also scores the WORST resident safety in the corridor (71%) and the HIGHEST crime rate (6,731/100k, +80%). Paying double for worse numbers.</t>
        </is>
      </c>
    </row>
    <row r="70">
      <c r="A70" s="16" t="inlineStr">
        <is>
          <t>Saude</t>
        </is>
      </c>
      <c r="B70" s="16" t="inlineStr">
        <is>
          <t>L1-Azul</t>
        </is>
      </c>
      <c r="C70" s="16" t="inlineStr">
        <is>
          <t>Saude</t>
        </is>
      </c>
      <c r="D70" s="15" t="n"/>
      <c r="E70" s="16" t="inlineStr">
        <is>
          <t>Avenida Jabaquara</t>
        </is>
      </c>
      <c r="F70" s="17" t="n">
        <v>2500</v>
      </c>
      <c r="G70" s="17" t="n">
        <v>200</v>
      </c>
      <c r="H70" s="17" t="n">
        <v>250</v>
      </c>
      <c r="I70" s="17">
        <f>IF(COUNT(F70,G70)&lt;2,"",F70+G70+H70)</f>
        <v/>
      </c>
      <c r="J70" s="15">
        <f>IF(COUNT(I70)=0,"no price",IF(I70&lt;=$F$5,"FITS",IF(I70&lt;=$F$6,"CLOSE","OVER")))</f>
        <v/>
      </c>
      <c r="K70" s="16" t="n">
        <v>105</v>
      </c>
      <c r="L70" s="20">
        <f>IFERROR(K70/2,"")</f>
        <v/>
      </c>
      <c r="M70" s="15">
        <f>IF(COUNT(K70)=0,"?",IF(K70&gt;=$F$7,"YES",IF(K70&gt;=40,"TIGHT","NO")))</f>
        <v/>
      </c>
      <c r="N70" s="15" t="n"/>
      <c r="O70" s="21" t="inlineStr">
        <is>
          <t>none</t>
        </is>
      </c>
      <c r="P70" s="16" t="inlineStr">
        <is>
          <t>QuintoAndar</t>
        </is>
      </c>
      <c r="Q70" s="16" t="inlineStr">
        <is>
          <t>chavesnamao id-33875029</t>
        </is>
      </c>
      <c r="R70" s="16" t="inlineStr">
        <is>
          <t>105m2 for R$2,950 all-in. A R$200 condo on 105m2 means a pre-1980 building with no doorman and possibly no lift. Huge space, zero service. Arterial road frontage.</t>
        </is>
      </c>
    </row>
    <row r="71">
      <c r="A71" s="16" t="inlineStr">
        <is>
          <t>Saude</t>
        </is>
      </c>
      <c r="B71" s="16" t="inlineStr">
        <is>
          <t>L1-Azul</t>
        </is>
      </c>
      <c r="C71" s="16" t="inlineStr">
        <is>
          <t>Saude</t>
        </is>
      </c>
      <c r="D71" s="15" t="n"/>
      <c r="E71" s="16" t="inlineStr">
        <is>
          <t>Rua Mauro</t>
        </is>
      </c>
      <c r="F71" s="17" t="n">
        <v>1900</v>
      </c>
      <c r="G71" s="17" t="n">
        <v>887</v>
      </c>
      <c r="H71" s="17" t="n">
        <v>302</v>
      </c>
      <c r="I71" s="17">
        <f>IF(COUNT(F71,G71)&lt;2,"",F71+G71+H71)</f>
        <v/>
      </c>
      <c r="J71" s="15">
        <f>IF(COUNT(I71)=0,"no price",IF(I71&lt;=$F$5,"FITS",IF(I71&lt;=$F$6,"CLOSE","OVER")))</f>
        <v/>
      </c>
      <c r="K71" s="16" t="n">
        <v>58</v>
      </c>
      <c r="L71" s="20">
        <f>IFERROR(K71/2,"")</f>
        <v/>
      </c>
      <c r="M71" s="15">
        <f>IF(COUNT(K71)=0,"?",IF(K71&gt;=$F$7,"YES",IF(K71&gt;=40,"TIGHT","NO")))</f>
        <v/>
      </c>
      <c r="N71" s="15" t="n">
        <v>1</v>
      </c>
      <c r="O71" s="18" t="inlineStr">
        <is>
          <t>24h LIVE</t>
        </is>
      </c>
      <c r="P71" s="16" t="inlineStr">
        <is>
          <t>PARAISO ADM</t>
        </is>
      </c>
      <c r="Q71" s="16" t="inlineStr">
        <is>
          <t>chavesnamao id-45443061</t>
        </is>
      </c>
      <c r="R71" s="16" t="inlineStr">
        <is>
          <t>Portaria 24h + sauna/academia/salao, 'proximo ao Metro Saude'. R$3,089 all-in - over, but the RENT is only R$1,900; R$302 of it is IPTU. Best 'stretch' candidate in Saude.</t>
        </is>
      </c>
    </row>
    <row r="72">
      <c r="A72" s="16" t="inlineStr">
        <is>
          <t>Jabaquara</t>
        </is>
      </c>
      <c r="B72" s="16" t="inlineStr">
        <is>
          <t>L1-Azul</t>
        </is>
      </c>
      <c r="C72" s="16" t="inlineStr">
        <is>
          <t>Jabaquara 250m</t>
        </is>
      </c>
      <c r="D72" s="15" t="n">
        <v>3</v>
      </c>
      <c r="E72" s="16" t="inlineStr">
        <is>
          <t>(addr withheld)</t>
        </is>
      </c>
      <c r="F72" s="17" t="n">
        <v>1750</v>
      </c>
      <c r="G72" s="17" t="n">
        <v>980</v>
      </c>
      <c r="H72" s="17" t="n">
        <v>120</v>
      </c>
      <c r="I72" s="17">
        <f>IF(COUNT(F72,G72)&lt;2,"",F72+G72+H72)</f>
        <v/>
      </c>
      <c r="J72" s="15">
        <f>IF(COUNT(I72)=0,"no price",IF(I72&lt;=$F$5,"FITS",IF(I72&lt;=$F$6,"CLOSE","OVER")))</f>
        <v/>
      </c>
      <c r="K72" s="16" t="n">
        <v>60</v>
      </c>
      <c r="L72" s="20">
        <f>IFERROR(K72/2,"")</f>
        <v/>
      </c>
      <c r="M72" s="15">
        <f>IF(COUNT(K72)=0,"?",IF(K72&gt;=$F$7,"YES",IF(K72&gt;=40,"TIGHT","NO")))</f>
        <v/>
      </c>
      <c r="N72" s="15" t="n">
        <v>1</v>
      </c>
      <c r="O72" s="21" t="inlineStr">
        <is>
          <t>none</t>
        </is>
      </c>
      <c r="P72" s="16" t="inlineStr">
        <is>
          <t>Organizacao ELO</t>
        </is>
      </c>
      <c r="Q72" s="16" t="inlineStr">
        <is>
          <t>(11) 5587-4951 / zsimovel 1403814</t>
        </is>
      </c>
      <c r="R72" s="16" t="inlineStr">
        <is>
          <t>60m2 + suite, 250m from the metro (VERIFIED in the listing). Doorman explicitly ABSENT.</t>
        </is>
      </c>
    </row>
    <row r="73">
      <c r="A73" s="16" t="inlineStr">
        <is>
          <t>Pq. Maria Helena</t>
        </is>
      </c>
      <c r="B73" s="16" t="inlineStr">
        <is>
          <t>L5-Lilas</t>
        </is>
      </c>
      <c r="C73" s="16" t="inlineStr">
        <is>
          <t>Capao Redondo (5.3 min VERIFIED)</t>
        </is>
      </c>
      <c r="D73" s="15" t="n">
        <v>5</v>
      </c>
      <c r="E73" s="16" t="inlineStr">
        <is>
          <t>Estrada de Itapecerica</t>
        </is>
      </c>
      <c r="F73" s="17" t="n">
        <v>2070</v>
      </c>
      <c r="G73" s="17" t="n">
        <v>270</v>
      </c>
      <c r="H73" s="17" t="n">
        <v>0</v>
      </c>
      <c r="I73" s="17">
        <f>IF(COUNT(F73,G73)&lt;2,"",F73+G73+H73)</f>
        <v/>
      </c>
      <c r="J73" s="15">
        <f>IF(COUNT(I73)=0,"no price",IF(I73&lt;=$F$5,"FITS",IF(I73&lt;=$F$6,"CLOSE","OVER")))</f>
        <v/>
      </c>
      <c r="K73" s="16" t="n">
        <v>56</v>
      </c>
      <c r="L73" s="20">
        <f>IFERROR(K73/2,"")</f>
        <v/>
      </c>
      <c r="M73" s="15">
        <f>IF(COUNT(K73)=0,"?",IF(K73&gt;=$F$7,"YES",IF(K73&gt;=40,"TIGHT","NO")))</f>
        <v/>
      </c>
      <c r="N73" s="15" t="n">
        <v>2</v>
      </c>
      <c r="O73" s="15" t="inlineStr">
        <is>
          <t>?</t>
        </is>
      </c>
      <c r="P73" s="16" t="inlineStr">
        <is>
          <t>QuintoAndar</t>
        </is>
      </c>
      <c r="Q73" s="16" t="inlineStr">
        <is>
          <t>chavesnamao id-45743889</t>
        </is>
      </c>
      <c r="R73" s="16" t="inlineStr">
        <is>
          <t>56 m2 with TWO vagas at R$2,340 all-in and a 5.3-min verified walk. Doorman not mentioned - call and ask.</t>
        </is>
      </c>
    </row>
    <row r="74">
      <c r="A74" s="16" t="inlineStr">
        <is>
          <t>Vila Prel</t>
        </is>
      </c>
      <c r="B74" s="16" t="inlineStr">
        <is>
          <t>L5-Lilas</t>
        </is>
      </c>
      <c r="C74" s="16" t="inlineStr">
        <is>
          <t>Vila das Belezas (8.5 min VERIFIED)</t>
        </is>
      </c>
      <c r="D74" s="15" t="n">
        <v>9</v>
      </c>
      <c r="E74" s="16" t="inlineStr">
        <is>
          <t>Estrada de Itapecerica - Rossi Mais Araucarias</t>
        </is>
      </c>
      <c r="F74" s="17" t="n">
        <v>2000</v>
      </c>
      <c r="G74" s="17" t="n">
        <v>522</v>
      </c>
      <c r="H74" s="17" t="n">
        <v>86</v>
      </c>
      <c r="I74" s="17">
        <f>IF(COUNT(F74,G74)&lt;2,"",F74+G74+H74)</f>
        <v/>
      </c>
      <c r="J74" s="15">
        <f>IF(COUNT(I74)=0,"no price",IF(I74&lt;=$F$5,"FITS",IF(I74&lt;=$F$6,"CLOSE","OVER")))</f>
        <v/>
      </c>
      <c r="K74" s="16" t="n">
        <v>47</v>
      </c>
      <c r="L74" s="20">
        <f>IFERROR(K74/2,"")</f>
        <v/>
      </c>
      <c r="M74" s="15">
        <f>IF(COUNT(K74)=0,"?",IF(K74&gt;=$F$7,"YES",IF(K74&gt;=40,"TIGHT","NO")))</f>
        <v/>
      </c>
      <c r="N74" s="15" t="n">
        <v>1</v>
      </c>
      <c r="O74" s="15" t="inlineStr">
        <is>
          <t>?</t>
        </is>
      </c>
      <c r="P74" s="16" t="inlineStr">
        <is>
          <t>QuintoAndar</t>
        </is>
      </c>
      <c r="Q74" s="16" t="inlineStr">
        <is>
          <t>chavesnamao id-46491424</t>
        </is>
      </c>
      <c r="R74" s="16" t="inlineStr">
        <is>
          <t>47 m2 at R$2,608 all-in.</t>
        </is>
      </c>
    </row>
    <row r="75">
      <c r="A75" s="16" t="inlineStr">
        <is>
          <t>Vila Prel</t>
        </is>
      </c>
      <c r="B75" s="16" t="inlineStr">
        <is>
          <t>L5-Lilas</t>
        </is>
      </c>
      <c r="C75" s="16" t="inlineStr">
        <is>
          <t>Vila das Belezas (8.5 min VERIFIED)</t>
        </is>
      </c>
      <c r="D75" s="15" t="n">
        <v>9</v>
      </c>
      <c r="E75" s="16" t="inlineStr">
        <is>
          <t>Estrada de Itapecerica</t>
        </is>
      </c>
      <c r="F75" s="17" t="n">
        <v>1402</v>
      </c>
      <c r="G75" s="17" t="n">
        <v>916</v>
      </c>
      <c r="H75" s="17" t="n">
        <v>96</v>
      </c>
      <c r="I75" s="17">
        <f>IF(COUNT(F75,G75)&lt;2,"",F75+G75+H75)</f>
        <v/>
      </c>
      <c r="J75" s="15">
        <f>IF(COUNT(I75)=0,"no price",IF(I75&lt;=$F$5,"FITS",IF(I75&lt;=$F$6,"CLOSE","OVER")))</f>
        <v/>
      </c>
      <c r="K75" s="16" t="n">
        <v>59</v>
      </c>
      <c r="L75" s="20">
        <f>IFERROR(K75/2,"")</f>
        <v/>
      </c>
      <c r="M75" s="15">
        <f>IF(COUNT(K75)=0,"?",IF(K75&gt;=$F$7,"YES",IF(K75&gt;=40,"TIGHT","NO")))</f>
        <v/>
      </c>
      <c r="N75" s="15" t="n">
        <v>1</v>
      </c>
      <c r="O75" s="15" t="inlineStr">
        <is>
          <t>?</t>
        </is>
      </c>
      <c r="P75" s="16" t="inlineStr">
        <is>
          <t>QuintoAndar</t>
        </is>
      </c>
      <c r="Q75" s="16" t="inlineStr">
        <is>
          <t>chavesnamao id-44401608</t>
        </is>
      </c>
      <c r="R75" s="16" t="inlineStr">
        <is>
          <t>59 m2 at R$2,414 all-in - very low rent, heavy condominio.</t>
        </is>
      </c>
    </row>
    <row r="76">
      <c r="A76" s="16" t="inlineStr">
        <is>
          <t>Jd. Germania</t>
        </is>
      </c>
      <c r="B76" s="16" t="inlineStr">
        <is>
          <t>L5-Lilas</t>
        </is>
      </c>
      <c r="C76" s="16" t="inlineStr">
        <is>
          <t>Campo Limpo (8.8 min VERIFIED)</t>
        </is>
      </c>
      <c r="D76" s="15" t="n">
        <v>9</v>
      </c>
      <c r="E76" s="16" t="inlineStr">
        <is>
          <t>Rua Barao Nicolino Barra, 139</t>
        </is>
      </c>
      <c r="F76" s="17" t="n">
        <v>1900</v>
      </c>
      <c r="G76" s="17" t="n">
        <v>580</v>
      </c>
      <c r="H76" s="17" t="n">
        <v>89</v>
      </c>
      <c r="I76" s="17">
        <f>IF(COUNT(F76,G76)&lt;2,"",F76+G76+H76)</f>
        <v/>
      </c>
      <c r="J76" s="15">
        <f>IF(COUNT(I76)=0,"no price",IF(I76&lt;=$F$5,"FITS",IF(I76&lt;=$F$6,"CLOSE","OVER")))</f>
        <v/>
      </c>
      <c r="K76" s="16" t="n"/>
      <c r="L76" s="20">
        <f>IFERROR(K76/2,"")</f>
        <v/>
      </c>
      <c r="M76" s="15">
        <f>IF(COUNT(K76)=0,"?",IF(K76&gt;=$F$7,"YES",IF(K76&gt;=40,"TIGHT","NO")))</f>
        <v/>
      </c>
      <c r="N76" s="15" t="n">
        <v>1</v>
      </c>
      <c r="O76" s="18" t="inlineStr">
        <is>
          <t>24h LIVE</t>
        </is>
      </c>
      <c r="P76" s="16" t="inlineStr">
        <is>
          <t>Leal Invest</t>
        </is>
      </c>
      <c r="Q76" s="16" t="inlineStr">
        <is>
          <t>(11) 94753-0670 / chavesnamao id-46265657</t>
        </is>
      </c>
      <c r="R76" s="16" t="inlineStr">
        <is>
          <t>Advertised portaria 24h at R$2,569 all-in. Floor area not published - ask.</t>
        </is>
      </c>
    </row>
    <row r="77">
      <c r="A77" s="16" t="inlineStr">
        <is>
          <t>Parque Regina  [CHEAPEST, CAVEATS]</t>
        </is>
      </c>
      <c r="B77" s="16" t="inlineStr">
        <is>
          <t>L5-Lilas</t>
        </is>
      </c>
      <c r="C77" s="16" t="inlineStr">
        <is>
          <t>Vila das Belezas (6.2 min VERIFIED)</t>
        </is>
      </c>
      <c r="D77" s="15" t="n">
        <v>6</v>
      </c>
      <c r="E77" s="16" t="inlineStr">
        <is>
          <t>Rua Professor Leitao da Cunha, 2127</t>
        </is>
      </c>
      <c r="F77" s="17" t="n">
        <v>1400</v>
      </c>
      <c r="G77" s="17" t="n"/>
      <c r="H77" s="17">
        <f>$F$4</f>
        <v/>
      </c>
      <c r="I77" s="17">
        <f>IF(COUNT(F77,G77)&lt;2,"",F77+G77+H77)</f>
        <v/>
      </c>
      <c r="J77" s="15">
        <f>IF(COUNT(I77)=0,"no price",IF(I77&lt;=$F$5,"FITS",IF(I77&lt;=$F$6,"CLOSE","OVER")))</f>
        <v/>
      </c>
      <c r="K77" s="16" t="n"/>
      <c r="L77" s="20">
        <f>IFERROR(K77/2,"")</f>
        <v/>
      </c>
      <c r="M77" s="15">
        <f>IF(COUNT(K77)=0,"?",IF(K77&gt;=$F$7,"YES",IF(K77&gt;=40,"TIGHT","NO")))</f>
        <v/>
      </c>
      <c r="N77" s="15" t="n"/>
      <c r="O77" s="21" t="inlineStr">
        <is>
          <t>none</t>
        </is>
      </c>
      <c r="P77" s="16" t="inlineStr">
        <is>
          <t>Agape Solucoes Imobiliarias</t>
        </is>
      </c>
      <c r="Q77" s="16" t="inlineStr">
        <is>
          <t>(11) 93499-5459 / chavesnamao id-44949532</t>
        </is>
      </c>
      <c r="R77" s="16" t="inlineStr">
        <is>
          <t>FOUR new-build units, R$1,400 to R$2,000, 'APARTAMENTOS NOVOS - NUNCA HABITADOS', 2 dormitorios. Walk verified at 6.2 min (their '500 m' claim checks out at 458 m). CHEAPEST price-per-real-bedroom anywhere in this search. CAVEATS: condominio NOT stated so the all-in could rise; the '600 m2' in the advert is the LOT not the flat; 4-storey walk-up, no lift, no amenity list, almost certainly no doorman.</t>
        </is>
      </c>
    </row>
    <row r="78">
      <c r="A78" s="16" t="inlineStr">
        <is>
          <t>Panamby  [CHECK SURROUNDINGS]</t>
        </is>
      </c>
      <c r="B78" s="16" t="inlineStr">
        <is>
          <t>L5-Lilas</t>
        </is>
      </c>
      <c r="C78" s="16" t="inlineStr">
        <is>
          <t>Giovanni Gronchi (6.1 min VERIFIED)</t>
        </is>
      </c>
      <c r="D78" s="15" t="n">
        <v>6</v>
      </c>
      <c r="E78" s="16" t="inlineStr">
        <is>
          <t>Av. Giovanni Gronchi, 7115 ap.2105</t>
        </is>
      </c>
      <c r="F78" s="17" t="n">
        <v>1940</v>
      </c>
      <c r="G78" s="17" t="n">
        <v>450</v>
      </c>
      <c r="H78" s="17" t="n">
        <v>84</v>
      </c>
      <c r="I78" s="17">
        <f>IF(COUNT(F78,G78)&lt;2,"",F78+G78+H78)</f>
        <v/>
      </c>
      <c r="J78" s="15">
        <f>IF(COUNT(I78)=0,"no price",IF(I78&lt;=$F$5,"FITS",IF(I78&lt;=$F$6,"CLOSE","OVER")))</f>
        <v/>
      </c>
      <c r="K78" s="16" t="n">
        <v>37</v>
      </c>
      <c r="L78" s="20">
        <f>IFERROR(K78/2,"")</f>
        <v/>
      </c>
      <c r="M78" s="15">
        <f>IF(COUNT(K78)=0,"?",IF(K78&gt;=$F$7,"YES",IF(K78&gt;=40,"TIGHT","NO")))</f>
        <v/>
      </c>
      <c r="N78" s="15" t="n">
        <v>0</v>
      </c>
      <c r="O78" s="15" t="inlineStr">
        <is>
          <t>?</t>
        </is>
      </c>
      <c r="P78" s="16" t="inlineStr">
        <is>
          <t>QuintoAndar</t>
        </is>
      </c>
      <c r="Q78" s="16" t="inlineStr">
        <is>
          <t>chavesnamao id-45565599</t>
        </is>
      </c>
      <c r="R78" s="16" t="inlineStr">
        <is>
          <t>FURNISHED, R$2,474 all-in, 6.1 min verified walk. NOTE: this address and Av. Carlos Caldeira Filho 185 reverse-geocode to the edge of Comunidade Travinhas. Legitimate high-rise towers, but walk the street in daylight AND after dark before committing.</t>
        </is>
      </c>
    </row>
    <row r="79">
      <c r="A79" s="16" t="inlineStr">
        <is>
          <t>Jardim Paris  [STRUCK]</t>
        </is>
      </c>
      <c r="B79" s="16" t="inlineStr">
        <is>
          <t>L5-Lilas</t>
        </is>
      </c>
      <c r="C79" s="16" t="inlineStr">
        <is>
          <t>Campo Limpo 26.5 min - FAILS</t>
        </is>
      </c>
      <c r="D79" s="15" t="n">
        <v>27</v>
      </c>
      <c r="E79" s="16" t="inlineStr">
        <is>
          <t>Rua Januario Zingaro / R. Vicente Pinheiro</t>
        </is>
      </c>
      <c r="F79" s="17" t="n"/>
      <c r="G79" s="17" t="n"/>
      <c r="H79" s="17">
        <f>$F$4</f>
        <v/>
      </c>
      <c r="I79" s="17">
        <f>IF(COUNT(F79,G79)&lt;2,"",F79+G79+H79)</f>
        <v/>
      </c>
      <c r="J79" s="15">
        <f>IF(COUNT(I79)=0,"no price",IF(I79&lt;=$F$5,"FITS",IF(I79&lt;=$F$6,"CLOSE","OVER")))</f>
        <v/>
      </c>
      <c r="K79" s="16" t="n"/>
      <c r="L79" s="20">
        <f>IFERROR(K79/2,"")</f>
        <v/>
      </c>
      <c r="M79" s="15">
        <f>IF(COUNT(K79)=0,"?",IF(K79&gt;=$F$7,"YES",IF(K79&gt;=40,"TIGHT","NO")))</f>
        <v/>
      </c>
      <c r="N79" s="15" t="n"/>
      <c r="O79" s="21" t="inlineStr">
        <is>
          <t>none</t>
        </is>
      </c>
      <c r="P79" s="16" t="inlineStr">
        <is>
          <t>-</t>
        </is>
      </c>
      <c r="Q79" s="16" t="inlineStr">
        <is>
          <t>(verified by OSRM routing)</t>
        </is>
      </c>
      <c r="R79" s="16" t="inlineStr">
        <is>
          <t>*** LEAD KILLED. Flagged to us as 42-47 m2 two-bedrooms at R$1,850-2,250 all-in - and the prices ARE real. But the walk to Campo Limpo metro is a REAL routed 1,977 m / 26.5 min, uphill, through a poorly-lit low-rise pocket. 2.6x over your limit. Textbook distance trap.</t>
        </is>
      </c>
    </row>
    <row r="80">
      <c r="A80" s="16" t="inlineStr">
        <is>
          <t>Valo Velho  [STRUCK]</t>
        </is>
      </c>
      <c r="B80" s="16" t="inlineStr">
        <is>
          <t>L5-Lilas</t>
        </is>
      </c>
      <c r="C80" s="16" t="inlineStr">
        <is>
          <t>NOT near Borba Gato - ~10 km off</t>
        </is>
      </c>
      <c r="D80" s="15" t="n"/>
      <c r="E80" s="16" t="inlineStr">
        <is>
          <t>Rua Sebastiao Advincula da Cunha</t>
        </is>
      </c>
      <c r="F80" s="17" t="n">
        <v>1150</v>
      </c>
      <c r="G80" s="17" t="n">
        <v>500</v>
      </c>
      <c r="H80" s="17">
        <f>$F$4</f>
        <v/>
      </c>
      <c r="I80" s="17">
        <f>IF(COUNT(F80,G80)&lt;2,"",F80+G80+H80)</f>
        <v/>
      </c>
      <c r="J80" s="15">
        <f>IF(COUNT(I80)=0,"no price",IF(I80&lt;=$F$5,"FITS",IF(I80&lt;=$F$6,"CLOSE","OVER")))</f>
        <v/>
      </c>
      <c r="K80" s="16" t="n">
        <v>52</v>
      </c>
      <c r="L80" s="20">
        <f>IFERROR(K80/2,"")</f>
        <v/>
      </c>
      <c r="M80" s="15">
        <f>IF(COUNT(K80)=0,"?",IF(K80&gt;=$F$7,"YES",IF(K80&gt;=40,"TIGHT","NO")))</f>
        <v/>
      </c>
      <c r="N80" s="15" t="n"/>
      <c r="O80" s="15" t="inlineStr">
        <is>
          <t>?</t>
        </is>
      </c>
      <c r="P80" s="16" t="inlineStr">
        <is>
          <t>-</t>
        </is>
      </c>
      <c r="Q80" s="16" t="inlineStr">
        <is>
          <t>(CEP cross-check)</t>
        </is>
      </c>
      <c r="R80" s="16" t="inlineStr">
        <is>
          <t>*** PORTAL DATA ERROR. Advertised as 250 m from Borba Gato at R$1,650 all-in for 52 m2. The street's real CEP is 05856-140, Jardim Eledy - roughly 10 km away in the far southwest. Both the portal's coordinate AND its distance calculation are wrong. Only a CEP check caught it. Do not chase.</t>
        </is>
      </c>
    </row>
    <row r="81">
      <c r="A81" s="16" t="inlineStr">
        <is>
          <t>Largo Treze  [AVOID]</t>
        </is>
      </c>
      <c r="B81" s="16" t="inlineStr">
        <is>
          <t>L5-Lilas</t>
        </is>
      </c>
      <c r="C81" s="16" t="inlineStr">
        <is>
          <t>Adolfo Pinheiro / Largo Treze</t>
        </is>
      </c>
      <c r="D81" s="15" t="n">
        <v>10</v>
      </c>
      <c r="E81" s="16" t="inlineStr">
        <is>
          <t>(four units, R$2,650-3,042 all-in)</t>
        </is>
      </c>
      <c r="F81" s="17" t="n">
        <v>2650</v>
      </c>
      <c r="G81" s="17" t="n"/>
      <c r="H81" s="17">
        <f>$F$4</f>
        <v/>
      </c>
      <c r="I81" s="17">
        <f>IF(COUNT(F81,G81)&lt;2,"",F81+G81+H81)</f>
        <v/>
      </c>
      <c r="J81" s="15">
        <f>IF(COUNT(I81)=0,"no price",IF(I81&lt;=$F$5,"FITS",IF(I81&lt;=$F$6,"CLOSE","OVER")))</f>
        <v/>
      </c>
      <c r="K81" s="16" t="n"/>
      <c r="L81" s="20">
        <f>IFERROR(K81/2,"")</f>
        <v/>
      </c>
      <c r="M81" s="15">
        <f>IF(COUNT(K81)=0,"?",IF(K81&gt;=$F$7,"YES",IF(K81&gt;=40,"TIGHT","NO")))</f>
        <v/>
      </c>
      <c r="N81" s="15" t="n"/>
      <c r="O81" s="15" t="inlineStr">
        <is>
          <t>?</t>
        </is>
      </c>
      <c r="P81" s="16" t="inlineStr">
        <is>
          <t>-</t>
        </is>
      </c>
      <c r="Q81" s="16" t="inlineStr">
        <is>
          <t>(various)</t>
        </is>
      </c>
      <c r="R81" s="16" t="inlineStr">
        <is>
          <t>*** DO NOT VIEW. Santo Amaro district runs +205% above the city crime average, 3rd worst of 1,249 bairros, with a robbery rate of 2,463 per 100k - 4.6 times Vila Sonia's. These units fit the budget and the walk. They are still a no.</t>
        </is>
      </c>
    </row>
    <row r="82">
      <c r="A82" s="16" t="inlineStr">
        <is>
          <t>Aclimacao</t>
        </is>
      </c>
      <c r="B82" s="16" t="inlineStr">
        <is>
          <t>L1-Azul</t>
        </is>
      </c>
      <c r="C82" s="16" t="inlineStr">
        <is>
          <t>Vergueiro ~10 min</t>
        </is>
      </c>
      <c r="D82" s="15" t="n">
        <v>10</v>
      </c>
      <c r="E82" s="16" t="inlineStr">
        <is>
          <t>Rua Scuvero</t>
        </is>
      </c>
      <c r="F82" s="17" t="n">
        <v>2150</v>
      </c>
      <c r="G82" s="17" t="n">
        <v>815</v>
      </c>
      <c r="H82" s="17" t="n">
        <v>0</v>
      </c>
      <c r="I82" s="17">
        <f>IF(COUNT(F82,G82)&lt;2,"",F82+G82+H82)</f>
        <v/>
      </c>
      <c r="J82" s="15">
        <f>IF(COUNT(I82)=0,"no price",IF(I82&lt;=$F$5,"FITS",IF(I82&lt;=$F$6,"CLOSE","OVER")))</f>
        <v/>
      </c>
      <c r="K82" s="16" t="n">
        <v>78</v>
      </c>
      <c r="L82" s="20">
        <f>IFERROR(K82/2,"")</f>
        <v/>
      </c>
      <c r="M82" s="15">
        <f>IF(COUNT(K82)=0,"?",IF(K82&gt;=$F$7,"YES",IF(K82&gt;=40,"TIGHT","NO")))</f>
        <v/>
      </c>
      <c r="N82" s="15" t="n">
        <v>1</v>
      </c>
      <c r="O82" s="15" t="inlineStr">
        <is>
          <t>?</t>
        </is>
      </c>
      <c r="P82" s="16" t="inlineStr">
        <is>
          <t>QuintoAndar</t>
        </is>
      </c>
      <c r="Q82" s="16" t="inlineStr">
        <is>
          <t>chavesnamao id-43080968</t>
        </is>
      </c>
      <c r="R82" s="16" t="inlineStr">
        <is>
          <t>78m2 + 1 vaga in the calmest affordable central pocket. R$3,085 - R$285 over. Best value/safety combination in the centre if the ceiling can flex.</t>
        </is>
      </c>
    </row>
    <row r="83">
      <c r="A83" s="16" t="inlineStr">
        <is>
          <t>Vila Matilde  [SPACE vs SAFETY]</t>
        </is>
      </c>
      <c r="B83" s="16" t="inlineStr">
        <is>
          <t>L3-Vermelha</t>
        </is>
      </c>
      <c r="C83" s="16" t="inlineStr">
        <is>
          <t>Vila Matilde</t>
        </is>
      </c>
      <c r="D83" s="15" t="n">
        <v>7</v>
      </c>
      <c r="E83" s="16" t="inlineStr">
        <is>
          <t>Rua Oscar Mosconi</t>
        </is>
      </c>
      <c r="F83" s="17" t="n">
        <v>2300</v>
      </c>
      <c r="G83" s="17" t="n">
        <v>300</v>
      </c>
      <c r="H83" s="17" t="n">
        <v>100</v>
      </c>
      <c r="I83" s="17">
        <f>IF(COUNT(F83,G83)&lt;2,"",F83+G83+H83)</f>
        <v/>
      </c>
      <c r="J83" s="15">
        <f>IF(COUNT(I83)=0,"no price",IF(I83&lt;=$F$5,"FITS",IF(I83&lt;=$F$6,"CLOSE","OVER")))</f>
        <v/>
      </c>
      <c r="K83" s="16" t="n">
        <v>75</v>
      </c>
      <c r="L83" s="20">
        <f>IFERROR(K83/2,"")</f>
        <v/>
      </c>
      <c r="M83" s="15">
        <f>IF(COUNT(K83)=0,"?",IF(K83&gt;=$F$7,"YES",IF(K83&gt;=40,"TIGHT","NO")))</f>
        <v/>
      </c>
      <c r="N83" s="15" t="n">
        <v>1</v>
      </c>
      <c r="O83" s="21" t="inlineStr">
        <is>
          <t>none</t>
        </is>
      </c>
      <c r="P83" s="16" t="inlineStr">
        <is>
          <t>QuintoAndar</t>
        </is>
      </c>
      <c r="Q83" s="16" t="inlineStr">
        <is>
          <t>chavesnamao id-44750797</t>
        </is>
      </c>
      <c r="R83" s="16" t="inlineStr">
        <is>
          <t>*** 75 m2 for R$2,700 all-in, walk GEOCODED at 7.1 min. Roughly TRIPLE the floor area R$2,700 buys in Pinheiros. Residential street, 1 vaga, IPTU verified at R$100. THE CATCH: Vila Matilde scores 38% resident safety and 961 robberies/yr. Best space-per-real found anywhere; worst safety of anywhere shortlisted. Your call, made with eyes open.</t>
        </is>
      </c>
    </row>
    <row r="84">
      <c r="A84" s="16" t="inlineStr">
        <is>
          <t>Vila Matilde  [SPACE vs SAFETY]</t>
        </is>
      </c>
      <c r="B84" s="16" t="inlineStr">
        <is>
          <t>L3-Vermelha</t>
        </is>
      </c>
      <c r="C84" s="16" t="inlineStr">
        <is>
          <t>Vila Matilde</t>
        </is>
      </c>
      <c r="D84" s="15" t="n">
        <v>7</v>
      </c>
      <c r="E84" s="16" t="inlineStr">
        <is>
          <t>Rua Joaquim Marra</t>
        </is>
      </c>
      <c r="F84" s="17" t="n">
        <v>1657</v>
      </c>
      <c r="G84" s="17" t="n">
        <v>280</v>
      </c>
      <c r="H84" s="17" t="n">
        <v>67</v>
      </c>
      <c r="I84" s="17">
        <f>IF(COUNT(F84,G84)&lt;2,"",F84+G84+H84)</f>
        <v/>
      </c>
      <c r="J84" s="15">
        <f>IF(COUNT(I84)=0,"no price",IF(I84&lt;=$F$5,"FITS",IF(I84&lt;=$F$6,"CLOSE","OVER")))</f>
        <v/>
      </c>
      <c r="K84" s="16" t="n">
        <v>55</v>
      </c>
      <c r="L84" s="20">
        <f>IFERROR(K84/2,"")</f>
        <v/>
      </c>
      <c r="M84" s="15">
        <f>IF(COUNT(K84)=0,"?",IF(K84&gt;=$F$7,"YES",IF(K84&gt;=40,"TIGHT","NO")))</f>
        <v/>
      </c>
      <c r="N84" s="15" t="n"/>
      <c r="O84" s="21" t="inlineStr">
        <is>
          <t>none</t>
        </is>
      </c>
      <c r="P84" s="16" t="inlineStr">
        <is>
          <t>QuintoAndar</t>
        </is>
      </c>
      <c r="Q84" s="16" t="inlineStr">
        <is>
          <t>chavesnamao id-43220480</t>
        </is>
      </c>
      <c r="R84" s="16" t="inlineStr">
        <is>
          <t>55 m2 at R$2,004 all-in, walk GEOCODED at 6.6 min. The budget play of the east. Same Vila Matilde safety caveat as above. No doorman.</t>
        </is>
      </c>
    </row>
    <row r="85">
      <c r="A85" s="16" t="inlineStr">
        <is>
          <t>Vila Matilde  [SPACE vs SAFETY]</t>
        </is>
      </c>
      <c r="B85" s="16" t="inlineStr">
        <is>
          <t>L3-Vermelha</t>
        </is>
      </c>
      <c r="C85" s="16" t="inlineStr">
        <is>
          <t>Vila Matilde</t>
        </is>
      </c>
      <c r="D85" s="15" t="n">
        <v>7</v>
      </c>
      <c r="E85" s="16" t="inlineStr">
        <is>
          <t>Rua Oscar Mosconi</t>
        </is>
      </c>
      <c r="F85" s="17" t="n">
        <v>2310</v>
      </c>
      <c r="G85" s="17" t="n">
        <v>300</v>
      </c>
      <c r="H85" s="17" t="n">
        <v>120</v>
      </c>
      <c r="I85" s="17">
        <f>IF(COUNT(F85,G85)&lt;2,"",F85+G85+H85)</f>
        <v/>
      </c>
      <c r="J85" s="15">
        <f>IF(COUNT(I85)=0,"no price",IF(I85&lt;=$F$5,"FITS",IF(I85&lt;=$F$6,"CLOSE","OVER")))</f>
        <v/>
      </c>
      <c r="K85" s="16" t="n">
        <v>60</v>
      </c>
      <c r="L85" s="20">
        <f>IFERROR(K85/2,"")</f>
        <v/>
      </c>
      <c r="M85" s="15">
        <f>IF(COUNT(K85)=0,"?",IF(K85&gt;=$F$7,"YES",IF(K85&gt;=40,"TIGHT","NO")))</f>
        <v/>
      </c>
      <c r="N85" s="15" t="n">
        <v>1</v>
      </c>
      <c r="O85" s="21" t="inlineStr">
        <is>
          <t>none</t>
        </is>
      </c>
      <c r="P85" s="16" t="inlineStr">
        <is>
          <t>QuintoAndar</t>
        </is>
      </c>
      <c r="Q85" s="16" t="inlineStr">
        <is>
          <t>chavesnamao id-43882372</t>
        </is>
      </c>
      <c r="R85" s="16" t="inlineStr">
        <is>
          <t>60 m2, 7.1 min walk geocoded. Same street and caveat as above.</t>
        </is>
      </c>
    </row>
    <row r="86">
      <c r="A86" s="16" t="inlineStr">
        <is>
          <t>Vila Matilde  [SPACE vs SAFETY]</t>
        </is>
      </c>
      <c r="B86" s="16" t="inlineStr">
        <is>
          <t>L3-Vermelha</t>
        </is>
      </c>
      <c r="C86" s="16" t="inlineStr">
        <is>
          <t>Vila Matilde</t>
        </is>
      </c>
      <c r="D86" s="15" t="n">
        <v>10</v>
      </c>
      <c r="E86" s="16" t="inlineStr">
        <is>
          <t>Avenida Marcondes de Brito</t>
        </is>
      </c>
      <c r="F86" s="17" t="n">
        <v>1750</v>
      </c>
      <c r="G86" s="17" t="n">
        <v>172</v>
      </c>
      <c r="H86" s="17" t="n">
        <v>0</v>
      </c>
      <c r="I86" s="17">
        <f>IF(COUNT(F86,G86)&lt;2,"",F86+G86+H86)</f>
        <v/>
      </c>
      <c r="J86" s="15">
        <f>IF(COUNT(I86)=0,"no price",IF(I86&lt;=$F$5,"FITS",IF(I86&lt;=$F$6,"CLOSE","OVER")))</f>
        <v/>
      </c>
      <c r="K86" s="16" t="n">
        <v>41</v>
      </c>
      <c r="L86" s="20">
        <f>IFERROR(K86/2,"")</f>
        <v/>
      </c>
      <c r="M86" s="15">
        <f>IF(COUNT(K86)=0,"?",IF(K86&gt;=$F$7,"YES",IF(K86&gt;=40,"TIGHT","NO")))</f>
        <v/>
      </c>
      <c r="N86" s="15" t="n"/>
      <c r="O86" s="21" t="inlineStr">
        <is>
          <t>none</t>
        </is>
      </c>
      <c r="P86" s="16" t="inlineStr">
        <is>
          <t>QuintoAndar</t>
        </is>
      </c>
      <c r="Q86" s="16" t="inlineStr">
        <is>
          <t>chavesnamao id-46178973</t>
        </is>
      </c>
      <c r="R86" s="16" t="inlineStr">
        <is>
          <t>R$1,922 all-in - one of the cheapest anywhere that PASSES the walk rule (9.7 min geocoded). IPTU listed as R$0. Same safety caveat.</t>
        </is>
      </c>
    </row>
    <row r="87">
      <c r="A87" s="16" t="inlineStr">
        <is>
          <t>Vila Matilde  [SPACE vs SAFETY]</t>
        </is>
      </c>
      <c r="B87" s="16" t="inlineStr">
        <is>
          <t>L3-Vermelha</t>
        </is>
      </c>
      <c r="C87" s="16" t="inlineStr">
        <is>
          <t>Vila Matilde</t>
        </is>
      </c>
      <c r="D87" s="15" t="n">
        <v>10</v>
      </c>
      <c r="E87" s="16" t="inlineStr">
        <is>
          <t>Avenida Marcondes de Brito</t>
        </is>
      </c>
      <c r="F87" s="17" t="n">
        <v>1650</v>
      </c>
      <c r="G87" s="17" t="n">
        <v>210</v>
      </c>
      <c r="H87" s="17" t="n">
        <v>120</v>
      </c>
      <c r="I87" s="17">
        <f>IF(COUNT(F87,G87)&lt;2,"",F87+G87+H87)</f>
        <v/>
      </c>
      <c r="J87" s="15">
        <f>IF(COUNT(I87)=0,"no price",IF(I87&lt;=$F$5,"FITS",IF(I87&lt;=$F$6,"CLOSE","OVER")))</f>
        <v/>
      </c>
      <c r="K87" s="16" t="n">
        <v>40</v>
      </c>
      <c r="L87" s="20">
        <f>IFERROR(K87/2,"")</f>
        <v/>
      </c>
      <c r="M87" s="15">
        <f>IF(COUNT(K87)=0,"?",IF(K87&gt;=$F$7,"YES",IF(K87&gt;=40,"TIGHT","NO")))</f>
        <v/>
      </c>
      <c r="N87" s="15" t="n">
        <v>1</v>
      </c>
      <c r="O87" s="21" t="inlineStr">
        <is>
          <t>none</t>
        </is>
      </c>
      <c r="P87" s="16" t="inlineStr">
        <is>
          <t>QuintoAndar</t>
        </is>
      </c>
      <c r="Q87" s="16" t="inlineStr">
        <is>
          <t>chavesnamao id-43429065</t>
        </is>
      </c>
      <c r="R87" s="16" t="inlineStr">
        <is>
          <t>R$1,980 all-in, 9.7 min geocoded. Same caveat.</t>
        </is>
      </c>
    </row>
    <row r="88">
      <c r="A88" s="16" t="inlineStr">
        <is>
          <t>Vila Prudente</t>
        </is>
      </c>
      <c r="B88" s="16" t="inlineStr">
        <is>
          <t>L2-Verde</t>
        </is>
      </c>
      <c r="C88" s="16" t="inlineStr">
        <is>
          <t>Vila Prudente</t>
        </is>
      </c>
      <c r="D88" s="15" t="n">
        <v>6</v>
      </c>
      <c r="E88" s="16" t="inlineStr">
        <is>
          <t>Rua Pindamonhangaba</t>
        </is>
      </c>
      <c r="F88" s="17" t="n">
        <v>2210</v>
      </c>
      <c r="G88" s="17" t="n">
        <v>290</v>
      </c>
      <c r="H88" s="17" t="n">
        <v>0</v>
      </c>
      <c r="I88" s="17">
        <f>IF(COUNT(F88,G88)&lt;2,"",F88+G88+H88)</f>
        <v/>
      </c>
      <c r="J88" s="15">
        <f>IF(COUNT(I88)=0,"no price",IF(I88&lt;=$F$5,"FITS",IF(I88&lt;=$F$6,"CLOSE","OVER")))</f>
        <v/>
      </c>
      <c r="K88" s="16" t="n">
        <v>34</v>
      </c>
      <c r="L88" s="20">
        <f>IFERROR(K88/2,"")</f>
        <v/>
      </c>
      <c r="M88" s="15">
        <f>IF(COUNT(K88)=0,"?",IF(K88&gt;=$F$7,"YES",IF(K88&gt;=40,"TIGHT","NO")))</f>
        <v/>
      </c>
      <c r="N88" s="15" t="n">
        <v>1</v>
      </c>
      <c r="O88" s="21" t="inlineStr">
        <is>
          <t>none</t>
        </is>
      </c>
      <c r="P88" s="16" t="inlineStr">
        <is>
          <t>QuintoAndar</t>
        </is>
      </c>
      <c r="Q88" s="16" t="inlineStr">
        <is>
          <t>chavesnamao id-44771487</t>
        </is>
      </c>
      <c r="R88" s="16" t="inlineStr">
        <is>
          <t>Walk GEOCODED at 5.5 min - the shortest verified walk in the east. Gym and pool in the building. 34 m2 is small. Vila Prudente is an L2+L15 interchange so it stays busy late.</t>
        </is>
      </c>
    </row>
    <row r="89">
      <c r="A89" s="16" t="inlineStr">
        <is>
          <t>Tatuape</t>
        </is>
      </c>
      <c r="B89" s="16" t="inlineStr">
        <is>
          <t>L3-Vermelha</t>
        </is>
      </c>
      <c r="C89" s="16" t="inlineStr">
        <is>
          <t>Tatuape (walk unconfirmed)</t>
        </is>
      </c>
      <c r="D89" s="15" t="n"/>
      <c r="E89" s="16" t="inlineStr">
        <is>
          <t>ref 2166 - address withheld</t>
        </is>
      </c>
      <c r="F89" s="17" t="n">
        <v>2250</v>
      </c>
      <c r="G89" s="17" t="n">
        <v>300</v>
      </c>
      <c r="H89" s="17" t="n">
        <v>120</v>
      </c>
      <c r="I89" s="17">
        <f>IF(COUNT(F89,G89)&lt;2,"",F89+G89+H89)</f>
        <v/>
      </c>
      <c r="J89" s="15">
        <f>IF(COUNT(I89)=0,"no price",IF(I89&lt;=$F$5,"FITS",IF(I89&lt;=$F$6,"CLOSE","OVER")))</f>
        <v/>
      </c>
      <c r="K89" s="16" t="n">
        <v>62</v>
      </c>
      <c r="L89" s="20">
        <f>IFERROR(K89/2,"")</f>
        <v/>
      </c>
      <c r="M89" s="15">
        <f>IF(COUNT(K89)=0,"?",IF(K89&gt;=$F$7,"YES",IF(K89&gt;=40,"TIGHT","NO")))</f>
        <v/>
      </c>
      <c r="N89" s="15" t="n">
        <v>1</v>
      </c>
      <c r="O89" s="15" t="inlineStr">
        <is>
          <t>?</t>
        </is>
      </c>
      <c r="P89" s="16" t="inlineStr">
        <is>
          <t>SR Imoveis CRECI 25.370-J</t>
        </is>
      </c>
      <c r="Q89" s="16" t="inlineStr">
        <is>
          <t>(11) 96666-7366 / zlimovel 4526769</t>
        </is>
      </c>
      <c r="R89" s="16" t="inlineStr">
        <is>
          <t>62 m2 + suite + vaga at R$2,670. 'Perto Metro Tatuape' but address withheld - confirm the walk by phone.</t>
        </is>
      </c>
    </row>
    <row r="90">
      <c r="A90" s="16" t="inlineStr">
        <is>
          <t>Vila Prudente</t>
        </is>
      </c>
      <c r="B90" s="16" t="inlineStr">
        <is>
          <t>L2-Verde</t>
        </is>
      </c>
      <c r="C90" s="16" t="inlineStr">
        <is>
          <t>Vila Prudente (walk unconfirmed)</t>
        </is>
      </c>
      <c r="D90" s="15" t="n"/>
      <c r="E90" s="16" t="inlineStr">
        <is>
          <t>(address withheld)</t>
        </is>
      </c>
      <c r="F90" s="17" t="n">
        <v>1650</v>
      </c>
      <c r="G90" s="17" t="n">
        <v>120</v>
      </c>
      <c r="H90" s="17" t="n">
        <v>120</v>
      </c>
      <c r="I90" s="17">
        <f>IF(COUNT(F90,G90)&lt;2,"",F90+G90+H90)</f>
        <v/>
      </c>
      <c r="J90" s="15">
        <f>IF(COUNT(I90)=0,"no price",IF(I90&lt;=$F$5,"FITS",IF(I90&lt;=$F$6,"CLOSE","OVER")))</f>
        <v/>
      </c>
      <c r="K90" s="16" t="n">
        <v>43</v>
      </c>
      <c r="L90" s="20">
        <f>IFERROR(K90/2,"")</f>
        <v/>
      </c>
      <c r="M90" s="15">
        <f>IF(COUNT(K90)=0,"?",IF(K90&gt;=$F$7,"YES",IF(K90&gt;=40,"TIGHT","NO")))</f>
        <v/>
      </c>
      <c r="N90" s="15" t="n">
        <v>0</v>
      </c>
      <c r="O90" s="15" t="inlineStr">
        <is>
          <t>?</t>
        </is>
      </c>
      <c r="P90" s="16" t="inlineStr">
        <is>
          <t>zlimovel</t>
        </is>
      </c>
      <c r="Q90" s="16" t="inlineStr">
        <is>
          <t>zlimovel /4513760/</t>
        </is>
      </c>
      <c r="R90" s="16" t="inlineStr">
        <is>
          <t>R$1,890 all-in for 43 m2 - excellent on price. Address withheld; confirm the walk.</t>
        </is>
      </c>
    </row>
    <row r="91">
      <c r="A91" s="16" t="inlineStr">
        <is>
          <t>Mooca</t>
        </is>
      </c>
      <c r="B91" s="16" t="inlineStr">
        <is>
          <t>L3-Vermelha</t>
        </is>
      </c>
      <c r="C91" s="16" t="inlineStr">
        <is>
          <t>Bresser-Mooca</t>
        </is>
      </c>
      <c r="D91" s="15" t="n">
        <v>7</v>
      </c>
      <c r="E91" s="16" t="inlineStr">
        <is>
          <t>Rua Almirante Brasil</t>
        </is>
      </c>
      <c r="F91" s="17" t="n">
        <v>2240</v>
      </c>
      <c r="G91" s="17" t="n">
        <v>680</v>
      </c>
      <c r="H91" s="17" t="n">
        <v>120</v>
      </c>
      <c r="I91" s="17">
        <f>IF(COUNT(F91,G91)&lt;2,"",F91+G91+H91)</f>
        <v/>
      </c>
      <c r="J91" s="15">
        <f>IF(COUNT(I91)=0,"no price",IF(I91&lt;=$F$5,"FITS",IF(I91&lt;=$F$6,"CLOSE","OVER")))</f>
        <v/>
      </c>
      <c r="K91" s="16" t="n">
        <v>53</v>
      </c>
      <c r="L91" s="20">
        <f>IFERROR(K91/2,"")</f>
        <v/>
      </c>
      <c r="M91" s="15">
        <f>IF(COUNT(K91)=0,"?",IF(K91&gt;=$F$7,"YES",IF(K91&gt;=40,"TIGHT","NO")))</f>
        <v/>
      </c>
      <c r="N91" s="15" t="n">
        <v>1</v>
      </c>
      <c r="O91" s="15" t="inlineStr">
        <is>
          <t>?</t>
        </is>
      </c>
      <c r="P91" s="16" t="inlineStr">
        <is>
          <t>QuintoAndar</t>
        </is>
      </c>
      <c r="Q91" s="16" t="inlineStr">
        <is>
          <t>chavesnamao id-45468840</t>
        </is>
      </c>
      <c r="R91" s="16" t="inlineStr">
        <is>
          <t>Walk geocoded 6.6 min. Mooca is frequently cited among the safer districts - but everything found there lands at R$3,040+.</t>
        </is>
      </c>
    </row>
    <row r="92">
      <c r="A92" s="16" t="inlineStr">
        <is>
          <t>Vila Regente Feijo  [FAILS WALK]</t>
        </is>
      </c>
      <c r="B92" s="16" t="inlineStr">
        <is>
          <t>L3-Vermelha</t>
        </is>
      </c>
      <c r="C92" s="16" t="inlineStr">
        <is>
          <t>Tatuape ~17 min</t>
        </is>
      </c>
      <c r="D92" s="15" t="n">
        <v>17</v>
      </c>
      <c r="E92" s="16" t="inlineStr">
        <is>
          <t>(address withheld)</t>
        </is>
      </c>
      <c r="F92" s="17" t="n">
        <v>1500</v>
      </c>
      <c r="G92" s="17" t="n">
        <v>270</v>
      </c>
      <c r="H92" s="17" t="n">
        <v>50</v>
      </c>
      <c r="I92" s="17">
        <f>IF(COUNT(F92,G92)&lt;2,"",F92+G92+H92)</f>
        <v/>
      </c>
      <c r="J92" s="15">
        <f>IF(COUNT(I92)=0,"no price",IF(I92&lt;=$F$5,"FITS",IF(I92&lt;=$F$6,"CLOSE","OVER")))</f>
        <v/>
      </c>
      <c r="K92" s="16" t="n">
        <v>60</v>
      </c>
      <c r="L92" s="20">
        <f>IFERROR(K92/2,"")</f>
        <v/>
      </c>
      <c r="M92" s="15">
        <f>IF(COUNT(K92)=0,"?",IF(K92&gt;=$F$7,"YES",IF(K92&gt;=40,"TIGHT","NO")))</f>
        <v/>
      </c>
      <c r="N92" s="15" t="n">
        <v>1</v>
      </c>
      <c r="O92" s="15" t="inlineStr">
        <is>
          <t>?</t>
        </is>
      </c>
      <c r="P92" s="16" t="inlineStr">
        <is>
          <t>M.CAS Imoveis</t>
        </is>
      </c>
      <c r="Q92" s="16" t="inlineStr">
        <is>
          <t>(11) 94751-2839 / zlimovel 4514955</t>
        </is>
      </c>
      <c r="R92" s="16" t="inlineStr">
        <is>
          <t>R$1,820 for 60 m2 + vaga - the cheapest big unit found ANYWHERE in the search. Fails only on the 17-min walk. Listed in case that rule ever bends.</t>
        </is>
      </c>
    </row>
    <row r="93">
      <c r="A93" s="16" t="inlineStr">
        <is>
          <t>Vila Carrao  [FAILS WALK]</t>
        </is>
      </c>
      <c r="B93" s="16" t="inlineStr">
        <is>
          <t>L3-Vermelha</t>
        </is>
      </c>
      <c r="C93" s="16" t="inlineStr">
        <is>
          <t>Penha ~25 min</t>
        </is>
      </c>
      <c r="D93" s="15" t="n">
        <v>25</v>
      </c>
      <c r="E93" s="16" t="inlineStr">
        <is>
          <t>(address withheld)</t>
        </is>
      </c>
      <c r="F93" s="17" t="n">
        <v>1800</v>
      </c>
      <c r="G93" s="17" t="n">
        <v>214</v>
      </c>
      <c r="H93" s="17" t="n">
        <v>120</v>
      </c>
      <c r="I93" s="17">
        <f>IF(COUNT(F93,G93)&lt;2,"",F93+G93+H93)</f>
        <v/>
      </c>
      <c r="J93" s="15">
        <f>IF(COUNT(I93)=0,"no price",IF(I93&lt;=$F$5,"FITS",IF(I93&lt;=$F$6,"CLOSE","OVER")))</f>
        <v/>
      </c>
      <c r="K93" s="16" t="n">
        <v>50</v>
      </c>
      <c r="L93" s="20">
        <f>IFERROR(K93/2,"")</f>
        <v/>
      </c>
      <c r="M93" s="15">
        <f>IF(COUNT(K93)=0,"?",IF(K93&gt;=$F$7,"YES",IF(K93&gt;=40,"TIGHT","NO")))</f>
        <v/>
      </c>
      <c r="N93" s="15" t="n"/>
      <c r="O93" s="21" t="inlineStr">
        <is>
          <t>none</t>
        </is>
      </c>
      <c r="P93" s="16" t="inlineStr">
        <is>
          <t>Alvoratta</t>
        </is>
      </c>
      <c r="Q93" s="16" t="inlineStr">
        <is>
          <t>(11) 98681-3921 / zlimovel 4527241</t>
        </is>
      </c>
      <c r="R93" s="16" t="inlineStr">
        <is>
          <t>CORRECTION TO AN EARLIER LEAD: Vila Carrao's cheap stock is NOT near Metro Carrao. The station sits on the Radial Leste at the bairro's northern edge; the residential bairro runs ~3 km south. Every sub-R$2,300 Carrao unit geocodes at 24-53 min walk. Priced for car households.</t>
        </is>
      </c>
    </row>
    <row r="94">
      <c r="A94" s="16" t="inlineStr">
        <is>
          <t>Jd Danfer  [STRUCK]</t>
        </is>
      </c>
      <c r="B94" s="16" t="inlineStr">
        <is>
          <t>CPTM L12 only</t>
        </is>
      </c>
      <c r="C94" s="16" t="inlineStr">
        <is>
          <t>Eng. Goulart ~22 min</t>
        </is>
      </c>
      <c r="D94" s="15" t="n">
        <v>22</v>
      </c>
      <c r="E94" s="16" t="inlineStr">
        <is>
          <t>Cond. Floresta Azul, Rua Floresta Azul 780</t>
        </is>
      </c>
      <c r="F94" s="17" t="n"/>
      <c r="G94" s="17" t="n"/>
      <c r="H94" s="17">
        <f>$F$4</f>
        <v/>
      </c>
      <c r="I94" s="17">
        <f>IF(COUNT(F94,G94)&lt;2,"",F94+G94+H94)</f>
        <v/>
      </c>
      <c r="J94" s="15">
        <f>IF(COUNT(I94)=0,"no price",IF(I94&lt;=$F$5,"FITS",IF(I94&lt;=$F$6,"CLOSE","OVER")))</f>
        <v/>
      </c>
      <c r="K94" s="16" t="n"/>
      <c r="L94" s="20">
        <f>IFERROR(K94/2,"")</f>
        <v/>
      </c>
      <c r="M94" s="15">
        <f>IF(COUNT(K94)=0,"?",IF(K94&gt;=$F$7,"YES",IF(K94&gt;=40,"TIGHT","NO")))</f>
        <v/>
      </c>
      <c r="N94" s="15" t="n"/>
      <c r="O94" s="18" t="inlineStr">
        <is>
          <t>24h LIVE</t>
        </is>
      </c>
      <c r="P94" s="16" t="inlineStr">
        <is>
          <t>-</t>
        </is>
      </c>
      <c r="Q94" s="16" t="inlineStr">
        <is>
          <t>(verified by geocoding)</t>
        </is>
      </c>
      <c r="R94" s="16" t="inlineStr">
        <is>
          <t>*** LEAD KILLED. Earlier research suggested R$1,700 including condominio with two 24h porterias near Guilhermina-Esperanca. The condominio is REAL - but it is 3.0 km (58 min walk) from that station, nearest rail is Eng. Goulart on CPTM L12 at 22 min, and NO live listing with a current price could be found. Do not act on it.</t>
        </is>
      </c>
    </row>
    <row r="95">
      <c r="A95" s="16" t="inlineStr">
        <is>
          <t>Aclimacao</t>
        </is>
      </c>
      <c r="B95" s="16" t="inlineStr">
        <is>
          <t>L1-Azul</t>
        </is>
      </c>
      <c r="C95" s="16" t="inlineStr">
        <is>
          <t>Vergueiro ~9 min</t>
        </is>
      </c>
      <c r="D95" s="15" t="n">
        <v>9</v>
      </c>
      <c r="E95" s="16" t="inlineStr">
        <is>
          <t>Rua Tenente Otavio Gomes, 123</t>
        </is>
      </c>
      <c r="F95" s="17" t="n">
        <v>2300</v>
      </c>
      <c r="G95" s="17" t="n">
        <v>1000</v>
      </c>
      <c r="H95" s="17" t="n">
        <v>120</v>
      </c>
      <c r="I95" s="17">
        <f>IF(COUNT(F95,G95)&lt;2,"",F95+G95+H95)</f>
        <v/>
      </c>
      <c r="J95" s="15">
        <f>IF(COUNT(I95)=0,"no price",IF(I95&lt;=$F$5,"FITS",IF(I95&lt;=$F$6,"CLOSE","OVER")))</f>
        <v/>
      </c>
      <c r="K95" s="16" t="n">
        <v>60</v>
      </c>
      <c r="L95" s="20">
        <f>IFERROR(K95/2,"")</f>
        <v/>
      </c>
      <c r="M95" s="15">
        <f>IF(COUNT(K95)=0,"?",IF(K95&gt;=$F$7,"YES",IF(K95&gt;=40,"TIGHT","NO")))</f>
        <v/>
      </c>
      <c r="N95" s="15" t="n">
        <v>1</v>
      </c>
      <c r="O95" s="18" t="inlineStr">
        <is>
          <t>24h LIVE</t>
        </is>
      </c>
      <c r="P95" s="16" t="inlineStr">
        <is>
          <t>MALFI IMOVEIS</t>
        </is>
      </c>
      <c r="Q95" s="16" t="inlineStr">
        <is>
          <t>chavesnamao id-46903229</t>
        </is>
      </c>
      <c r="R95" s="16" t="inlineStr">
        <is>
          <t>THE ONE THAT HURTS. Confirmed portaria 24h, lift, 60m2, 1 vaga, pet-friendly, VACANT NOW, good street. Rent is in budget; the R$1,000 condominio kills it at R$3,420. This is the honest price of a doorman in Aclimacao.</t>
        </is>
      </c>
    </row>
    <row r="97">
      <c r="A97" s="6" t="inlineStr">
        <is>
          <t>SUMMARY</t>
        </is>
      </c>
    </row>
    <row r="98">
      <c r="A98" s="19" t="inlineStr">
        <is>
          <t>Listings collected:</t>
        </is>
      </c>
      <c r="F98" s="23">
        <f>COUNTA(E11:E95)</f>
        <v/>
      </c>
    </row>
    <row r="99">
      <c r="A99" s="19" t="inlineStr">
        <is>
          <t>How many FIT your all-in ceiling:</t>
        </is>
      </c>
      <c r="F99" s="23">
        <f>COUNTIF(J11:J95,"FITS")</f>
        <v/>
      </c>
    </row>
    <row r="100">
      <c r="A100" s="19" t="inlineStr">
        <is>
          <t>Of those, how many are a REAL 2-bed:</t>
        </is>
      </c>
      <c r="F100" s="23">
        <f>COUNTIFS(J11:J95,"FITS",M11:M95,"YES")</f>
        <v/>
      </c>
    </row>
    <row r="101">
      <c r="A101" s="19" t="inlineStr">
        <is>
          <t>Of those, how many ALSO have a confirmed live 24h doorman:</t>
        </is>
      </c>
      <c r="F101" s="23">
        <f>COUNTIFS(J11:J95,"FITS",M11:M95,"YES",O11:O95,"24h LIVE")</f>
        <v/>
      </c>
    </row>
    <row r="102">
      <c r="A102" s="24" t="inlineStr">
        <is>
          <t>... and of THOSE, how many also walk to a metro in &lt;=10 min  &lt;-- the needle:</t>
        </is>
      </c>
      <c r="F102" s="23">
        <f>COUNTIFS(J11:J95,"FITS",M11:M95,"YES",O11:O95,"24h LIVE",D11:D95,"&lt;=10")</f>
        <v/>
      </c>
    </row>
    <row r="103">
      <c r="A103" s="19" t="inlineStr">
        <is>
          <t>Cheapest all-in found:</t>
        </is>
      </c>
      <c r="F103" s="23">
        <f>MIN(I11:I95)</f>
        <v/>
      </c>
    </row>
    <row r="104">
      <c r="A104" s="19" t="inlineStr">
        <is>
          <t>Median all-in:</t>
        </is>
      </c>
      <c r="F104" s="23">
        <f>MEDIAN(I11:I95)</f>
        <v/>
      </c>
    </row>
    <row r="105">
      <c r="A105" s="19" t="inlineStr">
        <is>
          <t>Median condominio (this is the number that decides everything):</t>
        </is>
      </c>
      <c r="F105" s="23">
        <f>MEDIAN(G11:G95)</f>
        <v/>
      </c>
    </row>
    <row r="107">
      <c r="A107" s="7" t="inlineStr">
        <is>
          <t>'no price' means the portal withheld the rent or the condominio. Call the agency for the missing figure - several of those could turn out to be good.</t>
        </is>
      </c>
    </row>
  </sheetData>
  <autoFilter ref="A10:R95"/>
  <conditionalFormatting sqref="J11:J95">
    <cfRule type="cellIs" priority="1" operator="equal" dxfId="2">
      <formula>"FITS"</formula>
    </cfRule>
    <cfRule type="cellIs" priority="2" operator="equal" dxfId="1">
      <formula>"CLOSE"</formula>
    </cfRule>
    <cfRule type="cellIs" priority="3" operator="equal" dxfId="3">
      <formula>"OVER"</formula>
    </cfRule>
  </conditionalFormatting>
  <conditionalFormatting sqref="M11:M95">
    <cfRule type="cellIs" priority="4" operator="equal" dxfId="0">
      <formula>"YES"</formula>
    </cfRule>
    <cfRule type="cellIs" priority="5" operator="equal" dxfId="4">
      <formula>"NO"</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3"/>
  <sheetViews>
    <sheetView showGridLines="0" workbookViewId="0">
      <selection activeCell="A1" sqref="A1"/>
    </sheetView>
  </sheetViews>
  <sheetFormatPr baseColWidth="8" defaultRowHeight="15"/>
  <cols>
    <col width="40" customWidth="1" min="1" max="1"/>
    <col width="116" customWidth="1" min="2" max="2"/>
    <col width="11" customWidth="1" min="3" max="3"/>
    <col width="11" customWidth="1" min="4" max="4"/>
    <col width="92" customWidth="1" min="5" max="5"/>
  </cols>
  <sheetData>
    <row r="1">
      <c r="A1" s="6" t="inlineStr">
        <is>
          <t>SAFETY - THE HARD NUMBERS</t>
        </is>
      </c>
    </row>
    <row r="2">
      <c r="A2" s="7" t="inlineStr">
        <is>
          <t>Official SSP/SP data via crimebrasil.com.br, 12 months Aug 2025 - Jul 2026. Rates per 100,000 RESIDENTS, not raw counts - raw counts unfairly defame big districts.</t>
        </is>
      </c>
    </row>
    <row r="4">
      <c r="A4" s="25" t="inlineStr">
        <is>
          <t>ROBBERY RATE - the crime that actually threatens a woman walking home at night</t>
        </is>
      </c>
    </row>
    <row r="5">
      <c r="A5" s="7" t="inlineStr">
        <is>
          <t>Roubo means armed or confrontational robbery. This is the right metric - furto (stealth theft) inflates commercial districts without the same physical danger.</t>
        </is>
      </c>
    </row>
    <row r="6">
      <c r="A6" s="7" t="inlineStr">
        <is>
          <t>Sat = does this district's line run all night on Saturdays? Only lines 1, 2, 3 and 15 do. Lines 4-Amarela, 5-Lilas and the CPTM do NOT.</t>
        </is>
      </c>
    </row>
    <row r="7">
      <c r="A7" s="10" t="inlineStr">
        <is>
          <t>District</t>
        </is>
      </c>
      <c r="B7" s="10" t="inlineStr">
        <is>
          <t>Roubo per 100k</t>
        </is>
      </c>
      <c r="C7" s="10" t="inlineStr">
        <is>
          <t>Line</t>
        </is>
      </c>
      <c r="D7" s="10" t="inlineStr">
        <is>
          <t>All-night Sat?</t>
        </is>
      </c>
      <c r="E7" s="10" t="inlineStr">
        <is>
          <t>What it means for you</t>
        </is>
      </c>
    </row>
    <row r="8">
      <c r="A8" s="16" t="inlineStr">
        <is>
          <t>Carrao</t>
        </is>
      </c>
      <c r="B8" s="26" t="n">
        <v>277</v>
      </c>
      <c r="C8" s="15" t="inlineStr">
        <is>
          <t>L3</t>
        </is>
      </c>
      <c r="D8" s="18" t="inlineStr">
        <is>
          <t>YES</t>
        </is>
      </c>
      <c r="E8" s="16" t="inlineStr">
        <is>
          <t>LOWEST of all. But its cheap stock geocodes 24-53 min from the station - priced for car households.</t>
        </is>
      </c>
    </row>
    <row r="9">
      <c r="A9" s="16" t="inlineStr">
        <is>
          <t>Sacoma</t>
        </is>
      </c>
      <c r="B9" s="26" t="n">
        <v>324</v>
      </c>
      <c r="C9" s="15" t="inlineStr">
        <is>
          <t>L2</t>
        </is>
      </c>
      <c r="D9" s="18" t="inlineStr">
        <is>
          <t>YES</t>
        </is>
      </c>
      <c r="E9" s="16" t="inlineStr">
        <is>
          <t>Treat with scepticism - low recorded rates in peripheral districts can mean under-reporting. 32% resident safety. Ruled out.</t>
        </is>
      </c>
    </row>
    <row r="10">
      <c r="A10" s="16" t="inlineStr">
        <is>
          <t>Tucuruvi</t>
        </is>
      </c>
      <c r="B10" s="26" t="n">
        <v>373</v>
      </c>
      <c r="C10" s="15" t="inlineStr">
        <is>
          <t>L1</t>
        </is>
      </c>
      <c r="D10" s="18" t="inlineStr">
        <is>
          <t>YES</t>
        </is>
      </c>
      <c r="E10" s="16" t="inlineStr">
        <is>
          <t>Genuinely quiet + the lowest condominio in the city. The cost is a 60-70 min commute.</t>
        </is>
      </c>
    </row>
    <row r="11">
      <c r="A11" s="16" t="inlineStr">
        <is>
          <t>Vila Formosa</t>
        </is>
      </c>
      <c r="B11" s="26" t="n">
        <v>391</v>
      </c>
      <c r="C11" s="15" t="inlineStr">
        <is>
          <t>L3</t>
        </is>
      </c>
      <c r="D11" s="18" t="inlineStr">
        <is>
          <t>YES</t>
        </is>
      </c>
      <c r="E11" s="16" t="inlineStr">
        <is>
          <t>Low, but phone robbery rising +4.4%. No metro within 10 min.</t>
        </is>
      </c>
    </row>
    <row r="12">
      <c r="A12" s="16" t="inlineStr">
        <is>
          <t>Jabaquara</t>
        </is>
      </c>
      <c r="B12" s="26" t="n">
        <v>394</v>
      </c>
      <c r="C12" s="15" t="inlineStr">
        <is>
          <t>L1</t>
        </is>
      </c>
      <c r="D12" s="18" t="inlineStr">
        <is>
          <t>YES</t>
        </is>
      </c>
      <c r="E12" s="16" t="inlineStr">
        <is>
          <t>Excellent rate AND deep cheap supply. But only 51% of residents say the streets are well lit - walk it at 21h.</t>
        </is>
      </c>
    </row>
    <row r="13">
      <c r="A13" s="16" t="inlineStr">
        <is>
          <t>Saude / Sao Judas</t>
        </is>
      </c>
      <c r="B13" s="26" t="n">
        <v>465</v>
      </c>
      <c r="C13" s="15" t="inlineStr">
        <is>
          <t>L1</t>
        </is>
      </c>
      <c r="D13" s="18" t="inlineStr">
        <is>
          <t>YES</t>
        </is>
      </c>
      <c r="E13" s="16" t="inlineStr">
        <is>
          <t>Strong rate, 85% well lit. Sao Judas has three sources of late foot traffic: the university, the Santuario and Shopping Plaza Sul.</t>
        </is>
      </c>
    </row>
    <row r="14">
      <c r="A14" s="16" t="inlineStr">
        <is>
          <t>Rio Pequeno</t>
        </is>
      </c>
      <c r="B14" s="26" t="n">
        <v>479</v>
      </c>
      <c r="C14" s="15" t="inlineStr">
        <is>
          <t>L4 area</t>
        </is>
      </c>
      <c r="D14" s="15" t="inlineStr">
        <is>
          <t>no</t>
        </is>
      </c>
      <c r="E14" s="16" t="inlineStr">
        <is>
          <t>Very good rate - but 3.4 km from the nearest station. Fails the walk rule.</t>
        </is>
      </c>
    </row>
    <row r="15">
      <c r="A15" s="16" t="inlineStr">
        <is>
          <t>Penha</t>
        </is>
      </c>
      <c r="B15" s="26" t="n">
        <v>491</v>
      </c>
      <c r="C15" s="15" t="inlineStr">
        <is>
          <t>L3</t>
        </is>
      </c>
      <c r="D15" s="18" t="inlineStr">
        <is>
          <t>YES</t>
        </is>
      </c>
      <c r="E15" s="16" t="inlineStr">
        <is>
          <t>Good rate, Saturday service, AND the only in-budget portaria-24h unit in the east. Check the CEP - see TRAPS.</t>
        </is>
      </c>
    </row>
    <row r="16">
      <c r="A16" s="16" t="inlineStr">
        <is>
          <t>Vila Sonia</t>
        </is>
      </c>
      <c r="B16" s="26" t="n">
        <v>533</v>
      </c>
      <c r="C16" s="15" t="inlineStr">
        <is>
          <t>L4</t>
        </is>
      </c>
      <c r="D16" s="15" t="inlineStr">
        <is>
          <t>NO</t>
        </is>
      </c>
      <c r="E16" s="16" t="inlineStr">
        <is>
          <t>Less than half Itaim's rate, and falling 15.9% YoY. But Linha 4 has no Saturday night service.</t>
        </is>
      </c>
    </row>
    <row r="17">
      <c r="A17" s="16" t="inlineStr">
        <is>
          <t>Vila Prudente</t>
        </is>
      </c>
      <c r="B17" s="26" t="n">
        <v>606</v>
      </c>
      <c r="C17" s="15" t="inlineStr">
        <is>
          <t>L2</t>
        </is>
      </c>
      <c r="D17" s="18" t="inlineStr">
        <is>
          <t>YES</t>
        </is>
      </c>
      <c r="E17" s="16" t="inlineStr">
        <is>
          <t>Decent - but phone robbery is rising fast there, +19.5%.</t>
        </is>
      </c>
    </row>
    <row r="18">
      <c r="A18" s="16" t="inlineStr">
        <is>
          <t>Jaguare</t>
        </is>
      </c>
      <c r="B18" s="27" t="n">
        <v>719</v>
      </c>
      <c r="C18" s="15" t="inlineStr">
        <is>
          <t>L9</t>
        </is>
      </c>
      <c r="D18" s="15" t="inlineStr">
        <is>
          <t>no</t>
        </is>
      </c>
      <c r="E18" s="16" t="inlineStr">
        <is>
          <t>Below average. Station is industrial and reported dark at night.</t>
        </is>
      </c>
    </row>
    <row r="19">
      <c r="A19" s="16" t="inlineStr">
        <is>
          <t>Santa Cecilia</t>
        </is>
      </c>
      <c r="B19" s="27" t="n">
        <v>800</v>
      </c>
      <c r="C19" s="15" t="inlineStr">
        <is>
          <t>L3</t>
        </is>
      </c>
      <c r="D19" s="18" t="inlineStr">
        <is>
          <t>YES</t>
        </is>
      </c>
      <c r="E19" s="16" t="inlineStr">
        <is>
          <t>Cracolandia drift. Ruled out.</t>
        </is>
      </c>
    </row>
    <row r="20">
      <c r="A20" s="16" t="inlineStr">
        <is>
          <t>Vila Leopoldina</t>
        </is>
      </c>
      <c r="B20" s="27" t="n">
        <v>826</v>
      </c>
      <c r="C20" s="15" t="inlineStr">
        <is>
          <t>L9</t>
        </is>
      </c>
      <c r="D20" s="15" t="inlineStr">
        <is>
          <t>no</t>
        </is>
      </c>
      <c r="E20" s="16" t="inlineStr">
        <is>
          <t>Pleasant but unaffordable.</t>
        </is>
      </c>
    </row>
    <row r="21">
      <c r="A21" s="16" t="inlineStr">
        <is>
          <t>Vila Andrade</t>
        </is>
      </c>
      <c r="B21" s="26" t="n">
        <v>600</v>
      </c>
      <c r="C21" s="15" t="inlineStr">
        <is>
          <t>L5</t>
        </is>
      </c>
      <c r="D21" s="15" t="inlineStr">
        <is>
          <t>NO</t>
        </is>
      </c>
      <c r="E21" s="16" t="inlineStr">
        <is>
          <t>Panamby towers. Below Vila Sonia-ish, but some addresses sit on a favela boundary - walk them.</t>
        </is>
      </c>
    </row>
    <row r="22">
      <c r="A22" s="16" t="inlineStr">
        <is>
          <t>Campo Limpo</t>
        </is>
      </c>
      <c r="B22" s="27" t="n">
        <v>898</v>
      </c>
      <c r="C22" s="15" t="inlineStr">
        <is>
          <t>L5</t>
        </is>
      </c>
      <c r="D22" s="15" t="inlineStr">
        <is>
          <t>NO</t>
        </is>
      </c>
      <c r="E22" s="16" t="inlineStr">
        <is>
          <t>*** READ THE NOTE BELOW. On ALL-crime it looks 43% BELOW the city average, which reads like a win. On ROBBERY it is 1.7x Vila Sonia. The all-crime figure is an artifact.</t>
        </is>
      </c>
    </row>
    <row r="23">
      <c r="A23" s="16" t="inlineStr">
        <is>
          <t>Capao Redondo</t>
        </is>
      </c>
      <c r="B23" s="27" t="n">
        <v>1177</v>
      </c>
      <c r="C23" s="15" t="inlineStr">
        <is>
          <t>L5</t>
        </is>
      </c>
      <c r="D23" s="15" t="inlineStr">
        <is>
          <t>NO</t>
        </is>
      </c>
      <c r="E23" s="16" t="inlineStr">
        <is>
          <t>Same artifact: -35% on all crime, but 2.2x Vila Sonia on robbery. The cheapest real two-bedrooms in the search are here.</t>
        </is>
      </c>
    </row>
    <row r="24">
      <c r="A24" s="16" t="inlineStr">
        <is>
          <t>Santo Amaro / Largo Treze</t>
        </is>
      </c>
      <c r="B24" s="28" t="n">
        <v>2463</v>
      </c>
      <c r="C24" s="15" t="inlineStr">
        <is>
          <t>L5/L9</t>
        </is>
      </c>
      <c r="D24" s="15" t="inlineStr">
        <is>
          <t>NO</t>
        </is>
      </c>
      <c r="E24" s="16" t="inlineStr">
        <is>
          <t>*** +205% above city average, 3rd worst bairro of 1,249, robbery 4.6x Vila Sonia. Units there fit your budget and walk. Still a no.</t>
        </is>
      </c>
    </row>
    <row r="25">
      <c r="A25" s="16" t="inlineStr">
        <is>
          <t>Vila Mariana</t>
        </is>
      </c>
      <c r="B25" s="27" t="n">
        <v>995</v>
      </c>
      <c r="C25" s="15" t="inlineStr">
        <is>
          <t>L1/L2</t>
        </is>
      </c>
      <c r="D25" s="18" t="inlineStr">
        <is>
          <t>YES</t>
        </is>
      </c>
      <c r="E25" s="16" t="inlineStr">
        <is>
          <t>Priciest in its corridor AND phone theft up 13.8%. Poor value.</t>
        </is>
      </c>
    </row>
    <row r="26">
      <c r="A26" s="16" t="inlineStr">
        <is>
          <t>Santana</t>
        </is>
      </c>
      <c r="B26" s="27" t="n">
        <v>1052</v>
      </c>
      <c r="C26" s="15" t="inlineStr">
        <is>
          <t>L1</t>
        </is>
      </c>
      <c r="D26" s="18" t="inlineStr">
        <is>
          <t>YES</t>
        </is>
      </c>
      <c r="E26" s="16" t="inlineStr">
        <is>
          <t>Roughly neutral vs Itaim on street crime. Good commute though.</t>
        </is>
      </c>
    </row>
    <row r="27">
      <c r="A27" s="16" t="inlineStr">
        <is>
          <t>Tatuape</t>
        </is>
      </c>
      <c r="B27" s="27" t="n">
        <v>1268</v>
      </c>
      <c r="C27" s="15" t="inlineStr">
        <is>
          <t>L3</t>
        </is>
      </c>
      <c r="D27" s="18" t="inlineStr">
        <is>
          <t>YES</t>
        </is>
      </c>
      <c r="E27" s="16" t="inlineStr">
        <is>
          <t>Close to Itaim Bibi's rate. Moving there is roughly neutral on robbery risk.</t>
        </is>
      </c>
    </row>
    <row r="28">
      <c r="A28" s="16" t="inlineStr">
        <is>
          <t>Lapa</t>
        </is>
      </c>
      <c r="B28" s="27" t="n">
        <v>1274</v>
      </c>
      <c r="C28" s="15" t="inlineStr">
        <is>
          <t>L7/L8</t>
        </is>
      </c>
      <c r="D28" s="15" t="inlineStr">
        <is>
          <t>no</t>
        </is>
      </c>
      <c r="E28" s="16" t="inlineStr">
        <is>
          <t>*** Same rate as Itaim Bibi. The Lapa flat on the shortlist wins on the BUILDING - doorman, facial recognition, 64 m2 - not on the district.</t>
        </is>
      </c>
    </row>
    <row r="29">
      <c r="A29" s="29" t="inlineStr">
        <is>
          <t>ITAIM BIBI - your current home</t>
        </is>
      </c>
      <c r="B29" s="30" t="n">
        <v>1303</v>
      </c>
      <c r="C29" s="31" t="inlineStr">
        <is>
          <t>none</t>
        </is>
      </c>
      <c r="D29" s="31" t="inlineStr">
        <is>
          <t>-</t>
        </is>
      </c>
      <c r="E29" s="29" t="inlineStr">
        <is>
          <t>Your baseline. And it rose 10% in phone robbery this year.</t>
        </is>
      </c>
    </row>
    <row r="30">
      <c r="A30" s="16" t="inlineStr">
        <is>
          <t>Liberdade</t>
        </is>
      </c>
      <c r="B30" s="28" t="n">
        <v>1349</v>
      </c>
      <c r="C30" s="15" t="inlineStr">
        <is>
          <t>L1/L3</t>
        </is>
      </c>
      <c r="D30" s="18" t="inlineStr">
        <is>
          <t>YES</t>
        </is>
      </c>
      <c r="E30" s="16" t="inlineStr">
        <is>
          <t>Higher than Itaim.</t>
        </is>
      </c>
    </row>
    <row r="31">
      <c r="A31" s="16" t="inlineStr">
        <is>
          <t>Butanta</t>
        </is>
      </c>
      <c r="B31" s="28" t="n">
        <v>1400</v>
      </c>
      <c r="C31" s="15" t="inlineStr">
        <is>
          <t>L4</t>
        </is>
      </c>
      <c r="D31" s="15" t="inlineStr">
        <is>
          <t>NO</t>
        </is>
      </c>
      <c r="E31" s="16" t="inlineStr">
        <is>
          <t>*** THE TRAP. Popular with students, looks affordable - but the HIGHEST robbery rate of any non-central district here, worse than Itaim, AND no Saturday night train. Steer away.</t>
        </is>
      </c>
    </row>
    <row r="32">
      <c r="A32" s="16" t="inlineStr">
        <is>
          <t>Bela Vista</t>
        </is>
      </c>
      <c r="B32" s="28" t="n">
        <v>2342</v>
      </c>
      <c r="C32" s="15" t="inlineStr">
        <is>
          <t>L2</t>
        </is>
      </c>
      <c r="D32" s="18" t="inlineStr">
        <is>
          <t>YES</t>
        </is>
      </c>
      <c r="E32" s="16" t="inlineStr">
        <is>
          <t>Nearly twice Itaim. Rule out.</t>
        </is>
      </c>
    </row>
    <row r="33">
      <c r="A33" s="16" t="inlineStr">
        <is>
          <t>Consolacao</t>
        </is>
      </c>
      <c r="B33" s="28" t="n">
        <v>2587</v>
      </c>
      <c r="C33" s="15" t="inlineStr">
        <is>
          <t>L2</t>
        </is>
      </c>
      <c r="D33" s="18" t="inlineStr">
        <is>
          <t>YES</t>
        </is>
      </c>
      <c r="E33" s="16" t="inlineStr">
        <is>
          <t>Twice Itaim. Rule out.</t>
        </is>
      </c>
    </row>
    <row r="34">
      <c r="A34" s="16" t="inlineStr">
        <is>
          <t>Pinheiros</t>
        </is>
      </c>
      <c r="B34" s="28" t="n">
        <v>3788</v>
      </c>
      <c r="C34" s="15" t="inlineStr">
        <is>
          <t>L4</t>
        </is>
      </c>
      <c r="D34" s="15" t="inlineStr">
        <is>
          <t>NO</t>
        </is>
      </c>
      <c r="E34" s="16" t="inlineStr">
        <is>
          <t>Three times Itaim - though inflated by commuters. Unaffordable anyway.</t>
        </is>
      </c>
    </row>
    <row r="36">
      <c r="A36" s="8" t="inlineStr">
        <is>
          <t>THE HEADLINE: you are moving somewhere SAFER, not more dangerous.</t>
        </is>
      </c>
    </row>
    <row r="37">
      <c r="A37" s="19" t="inlineStr">
        <is>
          <t>Itaim Bibi's robbery rate is 1,303 per 100k. Saude is 465, Jabaquara 394, Carrao 277. In Sao Paulo the expensive central districts are the</t>
        </is>
      </c>
    </row>
    <row r="38">
      <c r="A38" s="19" t="inlineStr">
        <is>
          <t>HIGH-robbery ones for street crime, because that is where the phones are. This inverts the usual assumption, and it is the best news in this file.</t>
        </is>
      </c>
    </row>
    <row r="39">
      <c r="A39" s="19" t="inlineStr"/>
    </row>
    <row r="40">
      <c r="A40" s="8" t="inlineStr">
        <is>
          <t>HONEST CAVEATS, because these numbers are easy to misuse:</t>
        </is>
      </c>
    </row>
    <row r="41">
      <c r="A41" s="19" t="inlineStr">
        <is>
          <t xml:space="preserve">  - Crimes are counted where they HAPPEN, not where victims live. Commercial districts are inflated by their daytime crowds.</t>
        </is>
      </c>
    </row>
    <row r="42">
      <c r="A42" s="19" t="inlineStr">
        <is>
          <t xml:space="preserve">  - Low rates in poorer peripheral districts can reflect people not reporting, rather than safety. Sacoma is the clearest example.</t>
        </is>
      </c>
    </row>
    <row r="43">
      <c r="A43" s="19" t="inlineStr">
        <is>
          <t xml:space="preserve">  - SSP-SP itself states that comparing crime indicators across districts is not methodologically correct. We have given you the comparison</t>
        </is>
      </c>
    </row>
    <row r="44">
      <c r="A44" s="19" t="inlineStr">
        <is>
          <t xml:space="preserve">    anyway because you have to choose somewhere - but weight it alongside an actual visit, never treat it as decisive on its own.</t>
        </is>
      </c>
    </row>
    <row r="46">
      <c r="A46" s="8" t="inlineStr">
        <is>
          <t>*** THE MOST IMPORTANT ANALYTICAL POINT IN THIS FILE - do not skip it</t>
        </is>
      </c>
    </row>
    <row r="47">
      <c r="A47" s="19" t="inlineStr">
        <is>
          <t>Many listing sites and neighbourhood guides quote an ALL-CRIME rate 'X% below the city average'. For the big outer districts that number is</t>
        </is>
      </c>
    </row>
    <row r="48">
      <c r="A48" s="19" t="inlineStr">
        <is>
          <t>an artifact and it points the wrong way. Campo Limpo reads as 43% BELOW average - safer, apparently, than Vila Sonia at 38% below. It is not.</t>
        </is>
      </c>
    </row>
    <row r="49">
      <c r="A49" s="19" t="inlineStr">
        <is>
          <t>Two things distort it: those districts have enormous residential populations that commute OUT by day, which deflates the per-capita rate; and</t>
        </is>
      </c>
    </row>
    <row r="50">
      <c r="A50" s="19" t="inlineStr">
        <is>
          <t>their crime MIX is different. Vila Sonia's mix is about two-thirds furto (stealth theft). Campo Limpo's is 42% roubo and Capao Redondo's 49%</t>
        </is>
      </c>
    </row>
    <row r="51">
      <c r="A51" s="19" t="inlineStr">
        <is>
          <t>roubo - robbery with force or threat. Normalised to the crime that actually threatens two women walking home at night, Campo Limpo is 1.7x and</t>
        </is>
      </c>
    </row>
    <row r="52">
      <c r="A52" s="19" t="inlineStr">
        <is>
          <t>Capao Redondo 2.2x MORE dangerous than Vila Sonia.</t>
        </is>
      </c>
    </row>
    <row r="53">
      <c r="A53" s="19" t="inlineStr">
        <is>
          <t>That is why this table ranks by ROBBERY and not by total crime. If anyone quotes you a 'below average' figure for an outer district, this is why</t>
        </is>
      </c>
    </row>
    <row r="54">
      <c r="A54" s="19" t="inlineStr">
        <is>
          <t>you should not accept it.</t>
        </is>
      </c>
    </row>
    <row r="55">
      <c r="A55" s="19" t="inlineStr"/>
    </row>
    <row r="56">
      <c r="A56" s="19" t="inlineStr">
        <is>
          <t>One more data-quality warning: crimebrasil reports Jardim Sao Luis at 270 per 100k - one fourteenth the city rate, for a district of 259,000</t>
        </is>
      </c>
    </row>
    <row r="57">
      <c r="A57" s="19" t="inlineStr">
        <is>
          <t>people in that region. That is not believable. Treat the whole dataset as directional rather than precise.</t>
        </is>
      </c>
    </row>
    <row r="59">
      <c r="A59" s="25" t="inlineStr">
        <is>
          <t>RESIDENT SURVEYS - opinion, not fact. n = how many people answered. ANYTHING UNDER n=25 IS NOT RELIABLE.</t>
        </is>
      </c>
    </row>
    <row r="60">
      <c r="A60" s="10" t="inlineStr">
        <is>
          <t>Neighbourhood</t>
        </is>
      </c>
      <c r="B60" s="10" t="inlineStr">
        <is>
          <t>n</t>
        </is>
      </c>
      <c r="C60" s="10" t="inlineStr">
        <is>
          <t>Feel safe</t>
        </is>
      </c>
      <c r="D60" s="10" t="inlineStr">
        <is>
          <t>Well lit</t>
        </is>
      </c>
      <c r="E60" s="10" t="inlineStr">
        <is>
          <t>What it means</t>
        </is>
      </c>
    </row>
    <row r="61">
      <c r="A61" s="16" t="inlineStr">
        <is>
          <t>Chacara Inglesa</t>
        </is>
      </c>
      <c r="B61" s="18" t="n">
        <v>47</v>
      </c>
      <c r="C61" s="15" t="inlineStr">
        <is>
          <t>85%</t>
        </is>
      </c>
      <c r="D61" s="15" t="inlineStr">
        <is>
          <t>89%</t>
        </is>
      </c>
      <c r="E61" s="16" t="inlineStr">
        <is>
          <t>Best scores anywhere - and completely unaffordable.</t>
        </is>
      </c>
    </row>
    <row r="62">
      <c r="A62" s="16" t="inlineStr">
        <is>
          <t>Vila Prudente</t>
        </is>
      </c>
      <c r="B62" s="18" t="n">
        <v>80</v>
      </c>
      <c r="C62" s="15" t="inlineStr">
        <is>
          <t>100%</t>
        </is>
      </c>
      <c r="D62" s="15" t="inlineStr">
        <is>
          <t>73%</t>
        </is>
      </c>
      <c r="E62" s="16" t="inlineStr">
        <is>
          <t>100% is implausibly clean; the same page carries flooding and truck-noise complaints. Directional only.</t>
        </is>
      </c>
    </row>
    <row r="63">
      <c r="A63" s="16" t="inlineStr">
        <is>
          <t>Vila Carrao</t>
        </is>
      </c>
      <c r="B63" s="18" t="n">
        <v>36</v>
      </c>
      <c r="C63" s="15" t="inlineStr">
        <is>
          <t>79%</t>
        </is>
      </c>
      <c r="D63" s="15" t="inlineStr">
        <is>
          <t>97%</t>
        </is>
      </c>
      <c r="E63" s="16" t="inlineStr">
        <is>
          <t>97% well lit is the BEST lighting score found anywhere, and Carrao has the lowest robbery rate. Shame about the station distance.</t>
        </is>
      </c>
    </row>
    <row r="64">
      <c r="A64" s="16" t="inlineStr">
        <is>
          <t>Ipiranga</t>
        </is>
      </c>
      <c r="B64" s="18" t="n">
        <v>83</v>
      </c>
      <c r="C64" s="15" t="inlineStr">
        <is>
          <t>74%</t>
        </is>
      </c>
      <c r="D64" s="15" t="inlineStr">
        <is>
          <t>88%</t>
        </is>
      </c>
      <c r="E64" s="16" t="inlineStr">
        <is>
          <t>Best combination of score AND sample size in the east. Alto do Ipiranga is on the shortlist for this reason.</t>
        </is>
      </c>
    </row>
    <row r="65">
      <c r="A65" s="16" t="inlineStr">
        <is>
          <t>Tatuape</t>
        </is>
      </c>
      <c r="B65" s="18" t="n">
        <v>121</v>
      </c>
      <c r="C65" s="15" t="inlineStr">
        <is>
          <t>73%</t>
        </is>
      </c>
      <c r="D65" s="15" t="inlineStr">
        <is>
          <t>75%</t>
        </is>
      </c>
      <c r="E65" s="16" t="inlineStr">
        <is>
          <t>Large sample, solid - but see its robbery rate above.</t>
        </is>
      </c>
    </row>
    <row r="66">
      <c r="A66" s="16" t="inlineStr">
        <is>
          <t>Vila da Saude</t>
        </is>
      </c>
      <c r="B66" s="15" t="n"/>
      <c r="C66" s="15" t="inlineStr">
        <is>
          <t>76%</t>
        </is>
      </c>
      <c r="D66" s="15" t="inlineStr">
        <is>
          <t>85%</t>
        </is>
      </c>
      <c r="E66" s="16" t="inlineStr">
        <is>
          <t>Good on both.</t>
        </is>
      </c>
    </row>
    <row r="67">
      <c r="A67" s="16" t="inlineStr">
        <is>
          <t>Jabaquara</t>
        </is>
      </c>
      <c r="B67" s="15" t="n"/>
      <c r="C67" s="15" t="inlineStr">
        <is>
          <t>78%</t>
        </is>
      </c>
      <c r="D67" s="15" t="inlineStr">
        <is>
          <t>51%</t>
        </is>
      </c>
      <c r="E67" s="16" t="inlineStr">
        <is>
          <t>*** 51% well lit is a genuine warning. Cheap and low-crime, but half the streets are badly lit. Walk it at 21h before signing.</t>
        </is>
      </c>
    </row>
    <row r="68">
      <c r="A68" s="16" t="inlineStr">
        <is>
          <t>Vila Mariana</t>
        </is>
      </c>
      <c r="B68" s="15" t="n"/>
      <c r="C68" s="15" t="inlineStr">
        <is>
          <t>71%</t>
        </is>
      </c>
      <c r="D68" s="15" t="inlineStr">
        <is>
          <t>78%</t>
        </is>
      </c>
      <c r="E68" s="16" t="inlineStr">
        <is>
          <t>Worst safety score in its corridor despite being the priciest.</t>
        </is>
      </c>
    </row>
    <row r="69">
      <c r="A69" s="16" t="inlineStr">
        <is>
          <t>Butanta</t>
        </is>
      </c>
      <c r="B69" s="18" t="n">
        <v>101</v>
      </c>
      <c r="C69" s="15" t="inlineStr">
        <is>
          <t>55%</t>
        </is>
      </c>
      <c r="D69" s="15" t="inlineStr">
        <is>
          <t>74%</t>
        </is>
      </c>
      <c r="E69" s="16" t="inlineStr">
        <is>
          <t>Only statistically meaningful lighting figure in the Yellow Line corridor.</t>
        </is>
      </c>
    </row>
    <row r="70">
      <c r="A70" s="16" t="inlineStr">
        <is>
          <t>Vila Sonia</t>
        </is>
      </c>
      <c r="B70" s="21" t="n">
        <v>17</v>
      </c>
      <c r="C70" s="15" t="inlineStr">
        <is>
          <t>60%</t>
        </is>
      </c>
      <c r="D70" s="15" t="inlineStr">
        <is>
          <t>94%</t>
        </is>
      </c>
      <c r="E70" s="16" t="inlineStr">
        <is>
          <t>*** The 94% rests on SEVENTEEN people. Do not rely on it. Use neighbouring Butanta's 74% (n=101) as the planning figure.</t>
        </is>
      </c>
    </row>
    <row r="71">
      <c r="A71" s="16" t="inlineStr">
        <is>
          <t>Santo Amaro</t>
        </is>
      </c>
      <c r="B71" s="18" t="n">
        <v>48</v>
      </c>
      <c r="C71" s="15" t="inlineStr">
        <is>
          <t>60%</t>
        </is>
      </c>
      <c r="D71" s="15" t="inlineStr">
        <is>
          <t>85%</t>
        </is>
      </c>
      <c r="E71" s="16" t="inlineStr">
        <is>
          <t>Most reliable sample on the L9 corridor, and it gives the worst result. Largo Treze core is a no.</t>
        </is>
      </c>
    </row>
    <row r="72">
      <c r="A72" s="16" t="inlineStr">
        <is>
          <t>Vila Matilde</t>
        </is>
      </c>
      <c r="B72" s="21" t="n">
        <v>8</v>
      </c>
      <c r="C72" s="15" t="inlineStr">
        <is>
          <t>38%</t>
        </is>
      </c>
      <c r="D72" s="15" t="inlineStr">
        <is>
          <t>71%</t>
        </is>
      </c>
      <c r="E72" s="16" t="inlineStr">
        <is>
          <t>n=8 is far too small - but it agrees with the hard data. A resident wrote: 'fui assaltada na primeira semana'.</t>
        </is>
      </c>
    </row>
    <row r="73">
      <c r="A73" s="16" t="inlineStr">
        <is>
          <t>Sacoma</t>
        </is>
      </c>
      <c r="B73" s="21" t="n">
        <v>22</v>
      </c>
      <c r="C73" s="15" t="inlineStr">
        <is>
          <t>32%</t>
        </is>
      </c>
      <c r="D73" s="15" t="inlineStr">
        <is>
          <t>79%</t>
        </is>
      </c>
      <c r="E73" s="16" t="inlineStr">
        <is>
          <t>'Rua falta luz direto... usuarios de drogas de monte.' Ruled out.</t>
        </is>
      </c>
    </row>
    <row r="75">
      <c r="A75" s="25" t="inlineStr">
        <is>
          <t>NUMBERS TO SAVE IN BOTH PHONES, TODAY</t>
        </is>
      </c>
    </row>
    <row r="76">
      <c r="A76" s="10" t="inlineStr">
        <is>
          <t>Contact</t>
        </is>
      </c>
      <c r="B76" s="10" t="inlineStr">
        <is>
          <t>What it is</t>
        </is>
      </c>
    </row>
    <row r="77">
      <c r="A77" s="16" t="inlineStr">
        <is>
          <t>190</t>
        </is>
      </c>
      <c r="B77" s="16" t="inlineStr">
        <is>
          <t>Military Police, emergencies. Ask for the Cabine Lilas for female officers - they also arrange free 99 rides to protection services.</t>
        </is>
      </c>
    </row>
    <row r="78">
      <c r="A78" s="16" t="inlineStr">
        <is>
          <t>180</t>
        </is>
      </c>
      <c r="B78" s="16" t="inlineStr">
        <is>
          <t>Central de Atendimento a Mulher - national women's helpline.</t>
        </is>
      </c>
    </row>
    <row r="79">
      <c r="A79" s="16" t="inlineStr">
        <is>
          <t>0800 055 0121  /  WhatsApp (11) 99767-7030</t>
        </is>
      </c>
      <c r="B79" s="16" t="inlineStr">
        <is>
          <t>CPTM support. 'Espaco Acolher' rooms in 26 CPTM stations give private support after harassment or violence.</t>
        </is>
      </c>
    </row>
    <row r="80">
      <c r="A80" s="16" t="inlineStr">
        <is>
          <t>(11) 97333-2252</t>
        </is>
      </c>
      <c r="B80" s="16" t="inlineStr">
        <is>
          <t>Metro women's support by SMS. Postos Avancados at Santa Cecilia (L3) and Luz (L1), Mon-Fri 08h-17h.</t>
        </is>
      </c>
    </row>
    <row r="81">
      <c r="A81" s="16" t="inlineStr">
        <is>
          <t>Abrigo Amigo</t>
        </is>
      </c>
      <c r="B81" s="16" t="inlineStr">
        <is>
          <t>A button on the digital panel at bus stops that starts a video call with support. Runs 20h-05h daily - exactly your hours.</t>
        </is>
      </c>
    </row>
    <row r="82">
      <c r="A82" s="16" t="inlineStr">
        <is>
          <t>SP Mulher Segura (app)</t>
        </is>
      </c>
      <c r="B82" s="16" t="inlineStr">
        <is>
          <t>Free, iOS and Android, gov.br login. Files police reports 24/7 and maps protection services. NOTE: its panic button only works for women who already hold a court protective order - do not rely on it as a general street-safety button.</t>
        </is>
      </c>
    </row>
    <row r="83">
      <c r="A83" s="16" t="inlineStr">
        <is>
          <t>Metro Conecta (app)</t>
        </is>
      </c>
      <c r="B83" s="16" t="inlineStr">
        <is>
          <t>Report harassment on the metro directly.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1"/>
  <sheetViews>
    <sheetView showGridLines="0" workbookViewId="0">
      <selection activeCell="A1" sqref="A1"/>
    </sheetView>
  </sheetViews>
  <sheetFormatPr baseColWidth="8" defaultRowHeight="15"/>
  <cols>
    <col width="30" customWidth="1" min="1" max="1"/>
    <col width="14" customWidth="1" min="2" max="2"/>
    <col width="14" customWidth="1" min="3" max="3"/>
    <col width="22" customWidth="1" min="4" max="4"/>
    <col width="16" customWidth="1" min="5" max="5"/>
    <col width="16" customWidth="1" min="6" max="6"/>
    <col width="64" customWidth="1" min="7" max="7"/>
  </cols>
  <sheetData>
    <row r="1">
      <c r="A1" s="1" t="inlineStr">
        <is>
          <t>THE MIDNIGHT PROBLEM</t>
        </is>
      </c>
    </row>
    <row r="2">
      <c r="A2" s="2" t="inlineStr">
        <is>
          <t>The finding that most changes how you should choose. Verified on the operators' own pages.</t>
        </is>
      </c>
    </row>
    <row r="3">
      <c r="A3" s="5" t="inlineStr"/>
    </row>
    <row r="4">
      <c r="A4" s="4" t="inlineStr">
        <is>
          <t>THE FACTS</t>
        </is>
      </c>
    </row>
    <row r="5">
      <c r="A5" s="5" t="inlineStr">
        <is>
          <t>The metro runs 04h40 to 00h00. CPTM lines 8 and 9 run 04h00 to 00h00. Every day. The last train is around midnight.</t>
        </is>
      </c>
    </row>
    <row r="6">
      <c r="A6" s="5" t="inlineStr">
        <is>
          <t>All-night service runs ONLY on Saturday nights, and ONLY on lines 1-Azul, 2-Verde, 3-Vermelha and 15-Prata.</t>
        </is>
      </c>
    </row>
    <row r="7">
      <c r="A7" s="3" t="inlineStr">
        <is>
          <t>Line 4-Amarela and Line 5-Lilas are EXCLUDED. Line 4 is the one serving Pinheiros, Faria Lima and Oscar Freire.</t>
        </is>
      </c>
    </row>
    <row r="8">
      <c r="A8" s="5" t="inlineStr">
        <is>
          <t>Even on those Saturday nights: headway is 20-30 minutes, and TRANSFERS BETWEEN LINES ARE FORBIDDEN after midnight. Same line only.</t>
        </is>
      </c>
    </row>
    <row r="9">
      <c r="A9" s="3" t="inlineStr">
        <is>
          <t>TIME-CRITICAL: that Saturday service is an EXPERIMENT officially declared to run 'until September 2026' - i.e. expiring right now.</t>
        </is>
      </c>
    </row>
    <row r="10">
      <c r="A10" s="3" t="inlineStr">
        <is>
          <t>No announcement confirming an extension could be found. VERIFY IT before signing anything that depends on it.</t>
        </is>
      </c>
    </row>
    <row r="11">
      <c r="A11" s="5" t="inlineStr"/>
    </row>
    <row r="12">
      <c r="A12" s="4" t="inlineStr">
        <is>
          <t>WHAT THIS ACTUALLY MEANS</t>
        </is>
      </c>
    </row>
    <row r="13">
      <c r="A13" s="5" t="inlineStr">
        <is>
          <t>To catch the last train from a casting in Pinheiros or the Jardins you must be on the platform by roughly 23h15-23h30.</t>
        </is>
      </c>
    </row>
    <row r="14">
      <c r="A14" s="5" t="inlineStr">
        <is>
          <t>Anything later is a car. So the question stops being 'is the walk from the station safe at 1am' and becomes:</t>
        </is>
      </c>
    </row>
    <row r="15">
      <c r="A15" s="3" t="inlineStr">
        <is>
          <t xml:space="preserve">   'Will a driver come here, and is the doorway I am dropped at lit and attended?'</t>
        </is>
      </c>
    </row>
    <row r="16">
      <c r="A16" s="5" t="inlineStr">
        <is>
          <t>That argues for a real doorman and for being ON or one block off a lit arterial - not for a quiet tucked-away street, which is the usual instinct.</t>
        </is>
      </c>
    </row>
    <row r="17">
      <c r="A17" s="5" t="inlineStr">
        <is>
          <t>It is also a real argument for the Line 1 districts (Saude, Jabaquara, Tucuruvi) and Line 3 (Carrao, Penha) over the Line 4 ones</t>
        </is>
      </c>
    </row>
    <row r="18">
      <c r="A18" s="5" t="inlineStr">
        <is>
          <t>(Butanta, Vila Sonia) - independent of crime. And the crime numbers happen to point the same way.</t>
        </is>
      </c>
    </row>
    <row r="19">
      <c r="A19" s="5" t="inlineStr"/>
    </row>
    <row r="20">
      <c r="A20" s="4" t="inlineStr">
        <is>
          <t>THE GOOD NEWS: THE CARS ARE CHEAPER THAN FEARED</t>
        </is>
      </c>
    </row>
    <row r="22">
      <c r="A22" s="10" t="inlineStr">
        <is>
          <t>From Itaim / Vila Olimpia to</t>
        </is>
      </c>
      <c r="B22" s="10" t="inlineStr">
        <is>
          <t>Distance</t>
        </is>
      </c>
      <c r="C22" s="10" t="inlineStr">
        <is>
          <t>Typical late-night fare</t>
        </is>
      </c>
      <c r="D22" s="10" t="inlineStr">
        <is>
          <t>At heavy 2x surge</t>
        </is>
      </c>
    </row>
    <row r="23">
      <c r="A23" s="16" t="inlineStr">
        <is>
          <t>Saude</t>
        </is>
      </c>
      <c r="B23" s="15" t="inlineStr">
        <is>
          <t>~9 km</t>
        </is>
      </c>
      <c r="C23" s="15" t="inlineStr">
        <is>
          <t>R$26</t>
        </is>
      </c>
      <c r="D23" s="15" t="inlineStr">
        <is>
          <t>R$44</t>
        </is>
      </c>
    </row>
    <row r="24">
      <c r="A24" s="16" t="inlineStr">
        <is>
          <t>Butanta</t>
        </is>
      </c>
      <c r="B24" s="15" t="inlineStr">
        <is>
          <t>~11 km</t>
        </is>
      </c>
      <c r="C24" s="15" t="inlineStr">
        <is>
          <t>R$32</t>
        </is>
      </c>
      <c r="D24" s="15" t="inlineStr">
        <is>
          <t>R$53</t>
        </is>
      </c>
    </row>
    <row r="25">
      <c r="A25" s="16" t="inlineStr">
        <is>
          <t>Lapa</t>
        </is>
      </c>
      <c r="B25" s="15" t="inlineStr">
        <is>
          <t>~13 km</t>
        </is>
      </c>
      <c r="C25" s="15" t="inlineStr">
        <is>
          <t>R$37</t>
        </is>
      </c>
      <c r="D25" s="15" t="inlineStr">
        <is>
          <t>R$62</t>
        </is>
      </c>
    </row>
    <row r="26">
      <c r="A26" s="16" t="inlineStr">
        <is>
          <t>Tatuape</t>
        </is>
      </c>
      <c r="B26" s="15" t="inlineStr">
        <is>
          <t>~15 km</t>
        </is>
      </c>
      <c r="C26" s="15" t="inlineStr">
        <is>
          <t>R$42</t>
        </is>
      </c>
      <c r="D26" s="15" t="inlineStr">
        <is>
          <t>R$70</t>
        </is>
      </c>
    </row>
    <row r="27">
      <c r="A27" s="16" t="inlineStr">
        <is>
          <t>Santana</t>
        </is>
      </c>
      <c r="B27" s="15" t="inlineStr">
        <is>
          <t>~17 km</t>
        </is>
      </c>
      <c r="C27" s="15" t="inlineStr">
        <is>
          <t>R$47</t>
        </is>
      </c>
      <c r="D27" s="15" t="inlineStr">
        <is>
          <t>R$79</t>
        </is>
      </c>
    </row>
    <row r="29">
      <c r="A29" s="19" t="inlineStr">
        <is>
          <t>Estimated from Uber's published Sao Paulo structure (base R$2.50 + R$1.65/km + R$0.35/min, with 1.2x-3x madrugada multipliers).</t>
        </is>
      </c>
    </row>
    <row r="30">
      <c r="A30" s="19" t="inlineStr">
        <is>
          <t>Treat these as a LOWER BOUND - app fares in Brazil have risen sharply. Screenshot real in-app quotes for your actual candidate addresses at</t>
        </is>
      </c>
    </row>
    <row r="31">
      <c r="A31" s="19" t="inlineStr">
        <is>
          <t>01:00 on a Friday and a Saturday BEFORE signing. Compare 99 against Uber; 99 is often cheaper in Sao Paulo.</t>
        </is>
      </c>
    </row>
    <row r="32">
      <c r="A32" s="19" t="inlineStr">
        <is>
          <t>At three late rides a week that is roughly R$344/month (Saude) to R$616/month (Santana). Real money - but not the deal-breaker it could have been.</t>
        </is>
      </c>
    </row>
    <row r="33">
      <c r="A33" s="19" t="inlineStr">
        <is>
          <t>It means a cheaper, further-out flat CAN genuinely make sense. Just write the number into the comparison instead of pretending it is zero.</t>
        </is>
      </c>
    </row>
    <row r="35">
      <c r="A35" s="25" t="inlineStr">
        <is>
          <t>WORK OUT YOUR OWN TRUE COST - edit the yellow cells</t>
        </is>
      </c>
    </row>
    <row r="36">
      <c r="A36" s="8" t="inlineStr">
        <is>
          <t>Late nights per week, between you:</t>
        </is>
      </c>
      <c r="E36" s="9" t="n">
        <v>3</v>
      </c>
    </row>
    <row r="37">
      <c r="A37" s="8" t="inlineStr">
        <is>
          <t>Typical fare home (R$):</t>
        </is>
      </c>
      <c r="E37" s="9" t="n">
        <v>40</v>
      </c>
    </row>
    <row r="38">
      <c r="A38" s="8" t="inlineStr">
        <is>
          <t>Rent + condominio + IPTU of the flat (R$):</t>
        </is>
      </c>
      <c r="E38" s="9" t="n">
        <v>2396</v>
      </c>
    </row>
    <row r="40">
      <c r="A40" s="19" t="inlineStr">
        <is>
          <t>Monthly cost of those cars (R$):</t>
        </is>
      </c>
      <c r="E40" s="23">
        <f>E36*4.33*E37</f>
        <v/>
      </c>
    </row>
    <row r="41">
      <c r="A41" s="25" t="inlineStr">
        <is>
          <t>TRUE MONTHLY HOUSING + TRANSPORT (R$):</t>
        </is>
      </c>
      <c r="E41" s="32">
        <f>E38+E36*4.33*E37</f>
        <v/>
      </c>
    </row>
    <row r="42">
      <c r="A42" s="19" t="inlineStr">
        <is>
          <t>Cars as a share of the housing budget:</t>
        </is>
      </c>
      <c r="E42" s="33">
        <f>IFERROR(E36*4.33*E37/E38,"")</f>
        <v/>
      </c>
    </row>
    <row r="44">
      <c r="A44" s="25" t="inlineStr">
        <is>
          <t>COMMUTE TIMES - door to door, off peak. Add 15-30 min at peak. Itaim Bibi has NO station of its own - it is a 15-25 min walk from Faria Lima or Vila Olimpia.</t>
        </is>
      </c>
    </row>
    <row r="45">
      <c r="A45" s="10" t="inlineStr">
        <is>
          <t>From</t>
        </is>
      </c>
      <c r="B45" s="10" t="inlineStr">
        <is>
          <t>Pinheiros</t>
        </is>
      </c>
      <c r="C45" s="10" t="inlineStr">
        <is>
          <t>Faria Lima</t>
        </is>
      </c>
      <c r="D45" s="10" t="inlineStr">
        <is>
          <t>Jardins / Oscar Freire</t>
        </is>
      </c>
      <c r="E45" s="10" t="inlineStr">
        <is>
          <t>Vila Olimpia</t>
        </is>
      </c>
      <c r="F45" s="10" t="inlineStr">
        <is>
          <t>Itaim Bibi</t>
        </is>
      </c>
      <c r="G45" s="10" t="inlineStr">
        <is>
          <t>Note</t>
        </is>
      </c>
    </row>
    <row r="46">
      <c r="A46" s="16" t="inlineStr">
        <is>
          <t>Vila Sonia (L4)</t>
        </is>
      </c>
      <c r="B46" s="15" t="inlineStr">
        <is>
          <t>~20 min</t>
        </is>
      </c>
      <c r="C46" s="15" t="inlineStr">
        <is>
          <t>~22 min</t>
        </is>
      </c>
      <c r="D46" s="15" t="inlineStr">
        <is>
          <t>~26 min</t>
        </is>
      </c>
      <c r="E46" s="15" t="inlineStr">
        <is>
          <t>~32-35 min</t>
        </is>
      </c>
      <c r="F46" s="15" t="inlineStr">
        <is>
          <t>~40-45 min</t>
        </is>
      </c>
      <c r="G46" s="16" t="inlineStr">
        <is>
          <t>BEST COMMUTE FOUND. But no Saturday night service.</t>
        </is>
      </c>
    </row>
    <row r="47">
      <c r="A47" s="16" t="inlineStr">
        <is>
          <t>Butanta (L4)</t>
        </is>
      </c>
      <c r="B47" s="15" t="inlineStr">
        <is>
          <t>~15 min</t>
        </is>
      </c>
      <c r="C47" s="15" t="inlineStr">
        <is>
          <t>~18 min</t>
        </is>
      </c>
      <c r="D47" s="15" t="inlineStr">
        <is>
          <t>~22 min</t>
        </is>
      </c>
      <c r="E47" s="15" t="inlineStr">
        <is>
          <t>~30 min</t>
        </is>
      </c>
      <c r="F47" s="15" t="inlineStr">
        <is>
          <t>~38 min</t>
        </is>
      </c>
      <c r="G47" s="16" t="inlineStr">
        <is>
          <t>One stop from Pinheiros - but see the Butanta robbery rate.</t>
        </is>
      </c>
    </row>
    <row r="48">
      <c r="A48" s="16" t="inlineStr">
        <is>
          <t>Lapa (L7/L8 + L3 hub)</t>
        </is>
      </c>
      <c r="B48" s="15" t="inlineStr">
        <is>
          <t>~30-35 min</t>
        </is>
      </c>
      <c r="C48" s="15" t="inlineStr">
        <is>
          <t>~35 min</t>
        </is>
      </c>
      <c r="D48" s="15" t="inlineStr">
        <is>
          <t>~40 min</t>
        </is>
      </c>
      <c r="E48" s="15" t="inlineStr">
        <is>
          <t>~45 min</t>
        </is>
      </c>
      <c r="F48" s="15" t="inlineStr">
        <is>
          <t>~50-55 min</t>
        </is>
      </c>
      <c r="G48" s="16" t="inlineStr">
        <is>
          <t>Via Barra Funda then L3 then L4. Two-line redundancy.</t>
        </is>
      </c>
    </row>
    <row r="49">
      <c r="A49" s="16" t="inlineStr">
        <is>
          <t>Alto do Ipiranga (L2)</t>
        </is>
      </c>
      <c r="B49" s="15" t="inlineStr">
        <is>
          <t>~50 min</t>
        </is>
      </c>
      <c r="C49" s="15" t="inlineStr">
        <is>
          <t>~48 min</t>
        </is>
      </c>
      <c r="D49" s="15" t="inlineStr">
        <is>
          <t>~30 min NO TRANSFER</t>
        </is>
      </c>
      <c r="E49" s="15" t="inlineStr">
        <is>
          <t>~67 min</t>
        </is>
      </c>
      <c r="F49" s="15" t="inlineStr">
        <is>
          <t>~64 min</t>
        </is>
      </c>
      <c r="G49" s="16" t="inlineStr">
        <is>
          <t>L2 stops INSIDE the Jardins. One train, no change.</t>
        </is>
      </c>
    </row>
    <row r="50">
      <c r="A50" s="16" t="inlineStr">
        <is>
          <t>Sao Judas / Conceicao (L1)</t>
        </is>
      </c>
      <c r="B50" s="15" t="inlineStr">
        <is>
          <t>~54 min</t>
        </is>
      </c>
      <c r="C50" s="15" t="inlineStr">
        <is>
          <t>~52 min</t>
        </is>
      </c>
      <c r="D50" s="15" t="inlineStr">
        <is>
          <t>~48 min</t>
        </is>
      </c>
      <c r="E50" s="15" t="inlineStr">
        <is>
          <t>~65 min</t>
        </is>
      </c>
      <c r="F50" s="15" t="inlineStr">
        <is>
          <t>~60-70 min</t>
        </is>
      </c>
      <c r="G50" s="16" t="inlineStr">
        <is>
          <t>Saturday all-night service. Well inside your 90-min tolerance.</t>
        </is>
      </c>
    </row>
    <row r="51">
      <c r="A51" s="16" t="inlineStr">
        <is>
          <t>Penha / Vila Matilde (L3)</t>
        </is>
      </c>
      <c r="B51" s="15" t="inlineStr">
        <is>
          <t>~57-60 min</t>
        </is>
      </c>
      <c r="C51" s="15" t="inlineStr">
        <is>
          <t>~55-58 min</t>
        </is>
      </c>
      <c r="D51" s="15" t="inlineStr">
        <is>
          <t>~51-54 min</t>
        </is>
      </c>
      <c r="E51" s="15" t="inlineStr">
        <is>
          <t>~73-76 min</t>
        </is>
      </c>
      <c r="F51" s="15" t="inlineStr">
        <is>
          <t>~70-73 min</t>
        </is>
      </c>
      <c r="G51" s="16" t="inlineStr">
        <is>
          <t>Saturday all-night service. Crowded line at peak.</t>
        </is>
      </c>
    </row>
    <row r="52">
      <c r="A52" s="16" t="inlineStr">
        <is>
          <t>Socorro / Jurubatuba (L9)</t>
        </is>
      </c>
      <c r="B52" s="15" t="inlineStr">
        <is>
          <t>~35-45 min</t>
        </is>
      </c>
      <c r="C52" s="15" t="inlineStr">
        <is>
          <t>~45-50 min</t>
        </is>
      </c>
      <c r="D52" s="15" t="inlineStr">
        <is>
          <t>~50 min</t>
        </is>
      </c>
      <c r="E52" s="15" t="inlineStr">
        <is>
          <t>~25-35 min</t>
        </is>
      </c>
      <c r="F52" s="15" t="inlineStr">
        <is>
          <t>~40-50 min</t>
        </is>
      </c>
      <c r="G52" s="16" t="inlineStr">
        <is>
          <t>Fastest to Vila Olimpia anywhere. L9 reliability is the worry.</t>
        </is>
      </c>
    </row>
    <row r="53">
      <c r="A53" s="16" t="inlineStr">
        <is>
          <t>Santana (L1 north)</t>
        </is>
      </c>
      <c r="B53" s="15" t="inlineStr">
        <is>
          <t>~45-55 min</t>
        </is>
      </c>
      <c r="C53" s="15" t="inlineStr">
        <is>
          <t>~50 min</t>
        </is>
      </c>
      <c r="D53" s="15" t="inlineStr">
        <is>
          <t>~50 min</t>
        </is>
      </c>
      <c r="E53" s="15" t="inlineStr">
        <is>
          <t>~60 min</t>
        </is>
      </c>
      <c r="F53" s="15" t="inlineStr">
        <is>
          <t>~60 min</t>
        </is>
      </c>
      <c r="G53" s="16" t="inlineStr">
        <is>
          <t>15-25 min better than Tucuruvi, twice a day, every day.</t>
        </is>
      </c>
    </row>
    <row r="54">
      <c r="A54" s="16" t="inlineStr">
        <is>
          <t>Tucuruvi (L1 terminus)</t>
        </is>
      </c>
      <c r="B54" s="15" t="inlineStr">
        <is>
          <t>~60-70 min</t>
        </is>
      </c>
      <c r="C54" s="15" t="inlineStr">
        <is>
          <t>~65 min</t>
        </is>
      </c>
      <c r="D54" s="15" t="inlineStr">
        <is>
          <t>~65 min</t>
        </is>
      </c>
      <c r="E54" s="15" t="inlineStr">
        <is>
          <t>~75 min</t>
        </is>
      </c>
      <c r="F54" s="15" t="inlineStr">
        <is>
          <t>~75 min</t>
        </is>
      </c>
      <c r="G54" s="16" t="inlineStr">
        <is>
          <t>Terminus = always a seat.</t>
        </is>
      </c>
    </row>
    <row r="56">
      <c r="A56" s="19" t="inlineStr"/>
    </row>
    <row r="57">
      <c r="A57" s="25" t="inlineStr">
        <is>
          <t>LINHA 9-ESMERALDA - A RELIABILITY WARNING</t>
        </is>
      </c>
    </row>
    <row r="58">
      <c r="A58" s="19" t="inlineStr">
        <is>
          <t>It failed for over 24 hours in October 2023 (R$20m in fines). It derailed TWICE in four weeks in April 2026, suspected cable theft.</t>
        </is>
      </c>
    </row>
    <row r="59">
      <c r="A59" s="19" t="inlineStr">
        <is>
          <t>Network-wide, serious failures rose 27% in the first half of 2026; on privatised lines, 56%. The substation fixes are scheduled only from 2027.</t>
        </is>
      </c>
    </row>
    <row r="60">
      <c r="A60" s="19" t="inlineStr">
        <is>
          <t>For a salaried worker that is an annoyance. For a model whose booking IS the job, one missed casting can cost more than a year of the rent saved.</t>
        </is>
      </c>
    </row>
    <row r="61">
      <c r="A61" s="19" t="inlineStr">
        <is>
          <t>If you choose that corridor, pick somewhere with a SECOND line in reach - Socorro is 8 min from Santo Amaro, which has Metro L5.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1"/>
  <sheetViews>
    <sheetView showGridLines="0" workbookViewId="0">
      <selection activeCell="A1" sqref="A1"/>
    </sheetView>
  </sheetViews>
  <sheetFormatPr baseColWidth="8" defaultRowHeight="15"/>
  <cols>
    <col width="26" customWidth="1" min="1" max="1"/>
    <col width="24" customWidth="1" min="2" max="2"/>
    <col width="106" customWidth="1" min="3" max="3"/>
    <col width="76" customWidth="1" min="4" max="4"/>
  </cols>
  <sheetData>
    <row r="1">
      <c r="A1" s="1" t="inlineStr">
        <is>
          <t>THE MONEY - and the test that will screen you before price does</t>
        </is>
      </c>
    </row>
    <row r="2">
      <c r="A2" s="2" t="inlineStr">
        <is>
          <t>Two things decide this search, and neither is the rent. One is the condominio. The other is the income test.</t>
        </is>
      </c>
    </row>
    <row r="3">
      <c r="A3" s="5" t="inlineStr"/>
    </row>
    <row r="4">
      <c r="A4" s="4" t="inlineStr">
        <is>
          <t>PART ONE: THE INCOME TEST - corrected, and it is better news than expected</t>
        </is>
      </c>
    </row>
    <row r="5">
      <c r="A5" s="3" t="inlineStr">
        <is>
          <t>The rule is 2.5x, NOT 3x. And it applies to the TOTAL package - rent + condominio + IPTU + fire insurance - not the rent alone.</t>
        </is>
      </c>
    </row>
    <row r="6">
      <c r="A6" s="3" t="inlineStr">
        <is>
          <t>CRUCIALLY: your two incomes CAN BE COMBINED. Up to four people can be pooled.</t>
        </is>
      </c>
    </row>
    <row r="7">
      <c r="A7" s="5" t="inlineStr">
        <is>
          <t>So for a R$2,800 all-in flat you must prove R$7,000 a month BETWEEN YOU - roughly R$3,500 each. Not R$7,000 each.</t>
        </is>
      </c>
    </row>
    <row r="8">
      <c r="A8" s="5" t="inlineStr">
        <is>
          <t>If one of you earns more than the other, that is fine. Only the total is tested.</t>
        </is>
      </c>
    </row>
    <row r="9">
      <c r="A9" s="5" t="inlineStr">
        <is>
          <t>Some traditional imobiliarias still apply 3x, so budget R$8,400 as the pessimistic case.</t>
        </is>
      </c>
    </row>
    <row r="11">
      <c r="A11" s="10" t="inlineStr">
        <is>
          <t>Package</t>
        </is>
      </c>
      <c r="B11" s="10" t="inlineStr">
        <is>
          <t>Combined income needed at 2.5x</t>
        </is>
      </c>
      <c r="C11" s="10" t="inlineStr">
        <is>
          <t>At 3x (stricter agencies)</t>
        </is>
      </c>
    </row>
    <row r="12">
      <c r="A12" s="16" t="inlineStr">
        <is>
          <t>R$2,000 all-in</t>
        </is>
      </c>
      <c r="B12" s="15" t="inlineStr">
        <is>
          <t>R$5,000</t>
        </is>
      </c>
      <c r="C12" s="15" t="inlineStr">
        <is>
          <t>R$6,000</t>
        </is>
      </c>
    </row>
    <row r="13">
      <c r="A13" s="16" t="inlineStr">
        <is>
          <t>R$2,400 all-in</t>
        </is>
      </c>
      <c r="B13" s="15" t="inlineStr">
        <is>
          <t>R$6,000</t>
        </is>
      </c>
      <c r="C13" s="15" t="inlineStr">
        <is>
          <t>R$7,200</t>
        </is>
      </c>
    </row>
    <row r="14">
      <c r="A14" s="29" t="inlineStr">
        <is>
          <t>R$2,800 all-in - YOUR CEILING</t>
        </is>
      </c>
      <c r="B14" s="31" t="inlineStr">
        <is>
          <t>R$7,000</t>
        </is>
      </c>
      <c r="C14" s="31" t="inlineStr">
        <is>
          <t>R$8,400</t>
        </is>
      </c>
    </row>
    <row r="17">
      <c r="A17" s="4" t="inlineStr">
        <is>
          <t>THE SINGLE MOST ACTIONABLE THING IN THIS ENTIRE FILE</t>
        </is>
      </c>
    </row>
    <row r="18">
      <c r="A18" s="3" t="inlineStr">
        <is>
          <t>As autonomas you will be asked for 90 DAYS OF COMPLETE PERSONAL BANK STATEMENTS. No carteira assinada needed.</t>
        </is>
      </c>
    </row>
    <row r="19">
      <c r="A19" s="5" t="inlineStr">
        <is>
          <t>'Complete movement for 90 days' means every modelling fee must LAND IN YOUR OWN ACCOUNT and be visible on the statement.</t>
        </is>
      </c>
    </row>
    <row r="20">
      <c r="A20" s="3" t="inlineStr">
        <is>
          <t>START TODAY. The window is retrospective. If you are paid partly in cash, or into someone else's account, those months are already lost.</t>
        </is>
      </c>
    </row>
    <row r="21">
      <c r="A21" s="5" t="inlineStr">
        <is>
          <t>Do NOT move money between your two accounts to inflate balances - the statements are read together and circular transfers are obvious and damaging.</t>
        </is>
      </c>
    </row>
    <row r="22">
      <c r="A22" s="5" t="inlineStr">
        <is>
          <t>Keep contracts, invoices and agency remittance advices. Not formally required, but they help enormously when a human reviews an irregular pattern.</t>
        </is>
      </c>
    </row>
    <row r="23">
      <c r="A23" s="5" t="inlineStr">
        <is>
          <t>Consider registering as MEI - cheap and fast. It gives you a CNPJ and lets you issue notas fiscais, turning 'irregular deposits' into documented revenue.</t>
        </is>
      </c>
    </row>
    <row r="24">
      <c r="A24" s="5" t="inlineStr"/>
    </row>
    <row r="25">
      <c r="A25" s="4" t="inlineStr">
        <is>
          <t>IF YOUR BANK STATEMENTS ARE WEAK - THE ROUTE AROUND THE INCOME TEST</t>
        </is>
      </c>
    </row>
    <row r="26">
      <c r="A26" s="5" t="inlineStr">
        <is>
          <t>Two providers advertise approval with NO income proof at all, running a CPF credit check instead:</t>
        </is>
      </c>
    </row>
    <row r="27">
      <c r="A27" s="3" t="inlineStr">
        <is>
          <t xml:space="preserve">   GARANTTI - 'Sem comprovacao de renda', CPF analysis in 2 seconds, no fiador, no caucao, monthly payment.  (31) 2522-0340</t>
        </is>
      </c>
    </row>
    <row r="28">
      <c r="A28" s="3" t="inlineStr">
        <is>
          <t xml:space="preserve">   CREDPAGO / LOFT - 'Sem comprovacao de renda', instant analysis, payable in up to 12 instalments, 100% digital.</t>
        </is>
      </c>
    </row>
    <row r="29">
      <c r="A29" s="5" t="inlineStr">
        <is>
          <t>If you go this route, your CLEAN CPF becomes your most valuable asset. Check both of your CPFs at Serasa and SPC BEFORE applying, and clear</t>
        </is>
      </c>
    </row>
    <row r="30">
      <c r="A30" s="5" t="inlineStr">
        <is>
          <t>any outstanding debt however small. A single unpaid phone bill can sink an application that no amount of modelling income would have fixed.</t>
        </is>
      </c>
    </row>
    <row r="31">
      <c r="A31" s="5" t="inlineStr"/>
    </row>
    <row r="32">
      <c r="A32" s="4" t="inlineStr">
        <is>
          <t>GUARANTEE OPTIONS COMPARED - and seguro-fianca is worse than it looks</t>
        </is>
      </c>
    </row>
    <row r="34">
      <c r="A34" s="10" t="inlineStr">
        <is>
          <t>Option</t>
        </is>
      </c>
      <c r="B34" s="10" t="inlineStr">
        <is>
          <t>Cost</t>
        </is>
      </c>
      <c r="C34" s="10" t="inlineStr">
        <is>
          <t>Refundable?</t>
        </is>
      </c>
      <c r="D34" s="10" t="inlineStr">
        <is>
          <t>Verdict</t>
        </is>
      </c>
    </row>
    <row r="35">
      <c r="A35" s="16" t="inlineStr">
        <is>
          <t>Seguro fianca</t>
        </is>
      </c>
      <c r="B35" s="16" t="inlineStr">
        <is>
          <t>~1.5x one month's rent, PER YEAR</t>
        </is>
      </c>
      <c r="C35" s="16" t="inlineStr">
        <is>
          <t>NO - never refunded</t>
        </is>
      </c>
      <c r="D35" s="16" t="inlineStr">
        <is>
          <t>Income test applies. On R$2,000 rent that is ~R$3,000/yr, every year, gone. Over 30 months, ~R$7,500 you never see again.</t>
        </is>
      </c>
    </row>
    <row r="36">
      <c r="A36" s="34" t="inlineStr">
        <is>
          <t>Caucao (cash deposit)</t>
        </is>
      </c>
      <c r="B36" s="34" t="inlineStr">
        <is>
          <t>Max 3 months' rent - LEGAL CAP</t>
        </is>
      </c>
      <c r="C36" s="34" t="inlineStr">
        <is>
          <t>YES - with interest, and the interest is legally YOURS</t>
        </is>
      </c>
      <c r="D36" s="34" t="inlineStr">
        <is>
          <t>EXCELLENT for irregular income - no income test, just cash. R$6,000 on a R$2,000 rent, and it comes back.</t>
        </is>
      </c>
    </row>
    <row r="37">
      <c r="A37" s="35" t="inlineStr">
        <is>
          <t>Garantti / CredPago</t>
        </is>
      </c>
      <c r="B37" s="35" t="inlineStr">
        <is>
          <t>Monthly fee</t>
        </is>
      </c>
      <c r="C37" s="35" t="inlineStr">
        <is>
          <t>No</t>
        </is>
      </c>
      <c r="D37" s="35" t="inlineStr">
        <is>
          <t>No income proof - CPF credit check instead. The best route if statements are messy.</t>
        </is>
      </c>
    </row>
    <row r="38">
      <c r="A38" s="16" t="inlineStr">
        <is>
          <t>Titulo de capitalizacao</t>
        </is>
      </c>
      <c r="B38" s="16" t="inlineStr">
        <is>
          <t>Varies, upfront</t>
        </is>
      </c>
      <c r="C38" s="16" t="inlineStr">
        <is>
          <t>Returned at contract end</t>
        </is>
      </c>
      <c r="D38" s="16" t="inlineStr">
        <is>
          <t>Moderate - needs cash up front.</t>
        </is>
      </c>
    </row>
    <row r="39">
      <c r="A39" s="16" t="inlineStr">
        <is>
          <t>Fiador</t>
        </is>
      </c>
      <c r="B39" s="16" t="inlineStr">
        <is>
          <t>Free</t>
        </is>
      </c>
      <c r="C39" s="16" t="inlineStr">
        <is>
          <t>n/a</t>
        </is>
      </c>
      <c r="D39" s="16" t="inlineStr">
        <is>
          <t>Needs a property-owning guarantor in Sao Paulo. Usually impossible for you.</t>
        </is>
      </c>
    </row>
    <row r="41">
      <c r="A41" s="5" t="inlineStr"/>
    </row>
    <row r="42">
      <c r="A42" s="3" t="inlineStr">
        <is>
          <t>If you have the cash, CAUCAO beats seguro-fianca on pure economics - it comes back with interest, and it skips the income test entirely.</t>
        </is>
      </c>
    </row>
    <row r="43">
      <c r="A43" s="5" t="inlineStr"/>
    </row>
    <row r="44">
      <c r="A44" s="4" t="inlineStr">
        <is>
          <t>IF EITHER OF YOU IS A FOREIGNER - the obstacle is not the visa</t>
        </is>
      </c>
    </row>
    <row r="45">
      <c r="A45" s="5" t="inlineStr">
        <is>
          <t>You need an RNM (formerly RNE) in place of an RG. That part is routine. The real problem is this:</t>
        </is>
      </c>
    </row>
    <row r="46">
      <c r="A46" s="3" t="inlineStr">
        <is>
          <t>Your income must be EARNED IN BRAZIL. Modelling work paid by a foreign agency, into a foreign account, will likely not count.</t>
        </is>
      </c>
    </row>
    <row r="47">
      <c r="A47" s="5" t="inlineStr">
        <is>
          <t>If either of you is paid offshore, arrange Brazilian-source payment through a Brazilian agency well before applying - or plan to be carried</t>
        </is>
      </c>
    </row>
    <row r="48">
      <c r="A48" s="5" t="inlineStr">
        <is>
          <t>by the other's income in the composicao. A Brazilian co-signer added to the composition (up to 4 people) is the reliable workaround.</t>
        </is>
      </c>
    </row>
    <row r="49">
      <c r="A49" s="5" t="inlineStr"/>
    </row>
    <row r="50">
      <c r="A50" s="4" t="inlineStr">
        <is>
          <t>PART TWO: READ THE CONDOMINIO, NOT THE RENT</t>
        </is>
      </c>
    </row>
    <row r="51">
      <c r="A51" s="5" t="inlineStr">
        <is>
          <t>Rent varies about 25% across the whole city. Condominio varies TEN times over - R$150 to R$1,800. That is where this is won or lost.</t>
        </is>
      </c>
    </row>
    <row r="53">
      <c r="A53" s="10" t="inlineStr">
        <is>
          <t>Condominio / month</t>
        </is>
      </c>
      <c r="B53" s="10" t="inlineStr">
        <is>
          <t>What it tells you</t>
        </is>
      </c>
      <c r="C53" s="10" t="inlineStr">
        <is>
          <t>Verdict</t>
        </is>
      </c>
    </row>
    <row r="54">
      <c r="A54" s="16" t="inlineStr">
        <is>
          <t>R$150 - R$450</t>
        </is>
      </c>
      <c r="B54" s="16" t="inlineStr">
        <is>
          <t>Almost certainly NO live doorman. Interfone or electronic gate, often no lift, small building.</t>
        </is>
      </c>
      <c r="C54" s="16" t="inlineStr">
        <is>
          <t>Cheap, and now you know why.</t>
        </is>
      </c>
    </row>
    <row r="55">
      <c r="A55" s="35" t="inlineStr">
        <is>
          <t>R$500 - R$800</t>
        </is>
      </c>
      <c r="B55" s="35" t="inlineStr">
        <is>
          <t>THE SWEET SPOT. A large older block, 60+ units, spreading one portaria across many payers.</t>
        </is>
      </c>
      <c r="C55" s="35" t="inlineStr">
        <is>
          <t>This is what to hunt for.</t>
        </is>
      </c>
    </row>
    <row r="56">
      <c r="A56" s="16" t="inlineStr">
        <is>
          <t>R$900 - R$1,400</t>
        </is>
      </c>
      <c r="B56" s="16" t="inlineStr">
        <is>
          <t>Portaria 24h plus gym, pool and party room - or an old building with ageing plumbing.</t>
        </is>
      </c>
      <c r="C56" s="16" t="inlineStr">
        <is>
          <t>Real, and it eats the whole budget.</t>
        </is>
      </c>
    </row>
    <row r="57">
      <c r="A57" s="16" t="inlineStr">
        <is>
          <t>R$1,500+</t>
        </is>
      </c>
      <c r="B57" s="16" t="inlineStr">
        <is>
          <t>Old prestige buildings and new luxury towers.</t>
        </is>
      </c>
      <c r="C57" s="16" t="inlineStr">
        <is>
          <t>Out of reach. Ignore.</t>
        </is>
      </c>
    </row>
    <row r="59">
      <c r="A59" s="5" t="inlineStr"/>
    </row>
    <row r="60">
      <c r="A60" s="3" t="inlineStr">
        <is>
          <t>THE LEVER THAT ACTUALLY WORKS: UNIT COUNT.</t>
        </is>
      </c>
    </row>
    <row r="61">
      <c r="A61" s="5" t="inlineStr">
        <is>
          <t>A 20-unit boutique block with a doorman will always cost more per flat than a 100-unit 1970s slab with the same doorman.</t>
        </is>
      </c>
    </row>
    <row r="62">
      <c r="A62" s="5" t="inlineStr">
        <is>
          <t>Bias hard toward BIG, PLAIN buildings with MANY units. That is how you buy a doorman for R$600 instead of R$1,100.</t>
        </is>
      </c>
    </row>
    <row r="63">
      <c r="A63" s="5" t="inlineStr"/>
    </row>
    <row r="64">
      <c r="A64" s="3" t="inlineStr">
        <is>
          <t>AND ONE MYTH TO DROP: 'old building = cheap condominio' is false. Older buildings often cost MORE - ageing electrics and plumbing.</t>
        </is>
      </c>
    </row>
    <row r="65">
      <c r="A65" s="5" t="inlineStr">
        <is>
          <t>The exception found on the Yellow Line: NEW high-density compact towers charge only R$280-820 AND include portaria 24h, because the staff</t>
        </is>
      </c>
    </row>
    <row r="66">
      <c r="A66" s="5" t="inlineStr">
        <is>
          <t>cost spreads over hundreds of small units. So do NOT filter out buildings with pools and gyms. Filter on ABSOLUTE condominio under R$700.</t>
        </is>
      </c>
    </row>
    <row r="67">
      <c r="A67" s="5" t="inlineStr"/>
    </row>
    <row r="68">
      <c r="A68" s="4" t="inlineStr">
        <is>
          <t>IPTU - small, but check it</t>
        </is>
      </c>
    </row>
    <row r="69">
      <c r="A69" s="5" t="inlineStr">
        <is>
          <t>Residential properties with a venal value up to R$260,000 are exempt in 2026, sliding to R$390,000. BUT the exemption requires imovel unico -</t>
        </is>
      </c>
    </row>
    <row r="70">
      <c r="A70" s="5" t="inlineStr">
        <is>
          <t>one property per taxpayer. Most landlords own more than one, so DO NOT assume it transfers to you. Observed range: R$0 to R$460 a month.</t>
        </is>
      </c>
    </row>
    <row r="71">
      <c r="A71" s="5" t="inlineStr">
        <is>
          <t>Listings showing 'R$1' or blank mean not filled in, not free. Always ask to see the actual carne before signing.</t>
        </is>
      </c>
    </row>
    <row r="72">
      <c r="A72" s="5" t="inlineStr"/>
    </row>
    <row r="73">
      <c r="A73" s="4" t="inlineStr">
        <is>
          <t>GYMS - you do not need one in the building</t>
        </is>
      </c>
    </row>
    <row r="75">
      <c r="A75" s="10" t="inlineStr">
        <is>
          <t>Option</t>
        </is>
      </c>
      <c r="B75" s="10" t="inlineStr">
        <is>
          <t>Monthly</t>
        </is>
      </c>
      <c r="C75" s="10" t="inlineStr">
        <is>
          <t>Note</t>
        </is>
      </c>
    </row>
    <row r="76">
      <c r="A76" s="16" t="inlineStr">
        <is>
          <t>Smart Fit Fit</t>
        </is>
      </c>
      <c r="B76" s="16" t="inlineStr">
        <is>
          <t>R$99.90 - R$149.90</t>
        </is>
      </c>
      <c r="C76" s="16" t="inlineStr">
        <is>
          <t>12-month contract, one gym.</t>
        </is>
      </c>
    </row>
    <row r="77">
      <c r="A77" s="16" t="inlineStr">
        <is>
          <t>Smart Fit Smart</t>
        </is>
      </c>
      <c r="B77" s="16" t="inlineStr">
        <is>
          <t>R$119.90 - R$169.90</t>
        </is>
      </c>
      <c r="C77" s="16" t="inlineStr">
        <is>
          <t>NO lock-in. Worth the premium while you are still settling.</t>
        </is>
      </c>
    </row>
    <row r="78">
      <c r="A78" s="16" t="inlineStr">
        <is>
          <t>Smart Fit Black</t>
        </is>
      </c>
      <c r="B78" s="16" t="inlineStr">
        <is>
          <t>R$159.90</t>
        </is>
      </c>
      <c r="C78" s="16" t="inlineStr">
        <is>
          <t>12-month, 2,000+ gyms, guest passes.</t>
        </is>
      </c>
    </row>
    <row r="79">
      <c r="A79" s="35" t="inlineStr">
        <is>
          <t>In-condominio academia</t>
        </is>
      </c>
      <c r="B79" s="35" t="inlineStr">
        <is>
          <t>R$0</t>
        </is>
      </c>
      <c r="C79" s="35" t="inlineStr">
        <is>
          <t>Vivaz Socorro and several new towers include one. For two people that saves R$200-320/month AND removes a night-time walk to the gym.</t>
        </is>
      </c>
    </row>
    <row r="81">
      <c r="A81" s="19" t="inlineStr">
        <is>
          <t>Smart Fit near the shortlist: Av. Jabaquara 1381 (Saude) - Rua do Manifesto 931 (Ipiranga) - Av. Eliseu de Almeida 1112 (Vila Sonia) - Av. Prof. Francisco Morato 2718 (Butanta) - Av. das Nacoes Unidas 22540 (Jurubatuba, beside the station). Ask your agencies about TotalPass or Gympass first.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56"/>
  <sheetViews>
    <sheetView showGridLines="0" workbookViewId="0">
      <selection activeCell="A1" sqref="A1"/>
    </sheetView>
  </sheetViews>
  <sheetFormatPr baseColWidth="8" defaultRowHeight="15"/>
  <cols>
    <col width="136" customWidth="1" min="1" max="1"/>
  </cols>
  <sheetData>
    <row r="1">
      <c r="A1" s="1" t="inlineStr">
        <is>
          <t>YOUR RIGHTS - Lei do Inquilinato (Lei 8.245/91)</t>
        </is>
      </c>
    </row>
    <row r="2">
      <c r="A2" s="2" t="inlineStr">
        <is>
          <t>Verified from the official text at planalto.gov.br. Most landlords and agents who try these things are counting on you not knowing.</t>
        </is>
      </c>
    </row>
    <row r="3">
      <c r="A3" s="5" t="inlineStr"/>
    </row>
    <row r="4">
      <c r="A4" s="4" t="inlineStr">
        <is>
          <t>THE THREE ARTICLES THAT PROTECT YOU MOST</t>
        </is>
      </c>
    </row>
    <row r="5">
      <c r="A5" s="3" t="inlineStr">
        <is>
          <t>1. ONLY ONE GUARANTEE IS LEGAL - EVER.  (Art. 37, paragrafo unico)</t>
        </is>
      </c>
    </row>
    <row r="6">
      <c r="A6" s="5" t="inlineStr">
        <is>
          <t xml:space="preserve">   A landlord may not require seguro-fianca AND a caucao. Two guarantees in one contract is NULL.</t>
        </is>
      </c>
    </row>
    <row r="7">
      <c r="A7" s="3" t="inlineStr">
        <is>
          <t>2. DEMANDING TWO IS A CRIMINAL OFFENCE.  (Art. 43)</t>
        </is>
      </c>
    </row>
    <row r="8">
      <c r="A8" s="5" t="inlineStr">
        <is>
          <t xml:space="preserve">   So is demanding money beyond rent and permitted charges, and so is charging rent in advance.</t>
        </is>
      </c>
    </row>
    <row r="9">
      <c r="A9" s="5" t="inlineStr">
        <is>
          <t xml:space="preserve">   Penalty: prisao simples of 5 days to 6 months, OR a fine of 3 to 12 months' rent - AND THE FINE IS PAID TO YOU, THE TENANT.</t>
        </is>
      </c>
    </row>
    <row r="10">
      <c r="A10" s="3" t="inlineStr">
        <is>
          <t xml:space="preserve">   This is your single strongest weapon. If an agency pushes a second guarantee, say the article number out loud.</t>
        </is>
      </c>
    </row>
    <row r="11">
      <c r="A11" s="3" t="inlineStr">
        <is>
          <t>3. CAUCAO IS CAPPED AT THREE MONTHS' RENT.  (Art. 38 §2)</t>
        </is>
      </c>
    </row>
    <row r="12">
      <c r="A12" s="5" t="inlineStr">
        <is>
          <t xml:space="preserve">   It must sit in a caderneta de poupanca, and ALL the interest belongs to you when you take it out. More than 3 months is unlawful.</t>
        </is>
      </c>
    </row>
    <row r="13">
      <c r="A13" s="5" t="inlineStr"/>
    </row>
    <row r="14">
      <c r="A14" s="4" t="inlineStr">
        <is>
          <t>WHO PAYS WHAT</t>
        </is>
      </c>
    </row>
    <row r="15">
      <c r="A15" s="5" t="inlineStr">
        <is>
          <t>You pay ORDINARY condominium costs (Art. 23 XII): staff salaries, common-area utilities, cleaning, lift and porteiro maintenance, security.</t>
        </is>
      </c>
    </row>
    <row r="16">
      <c r="A16" s="5" t="inlineStr">
        <is>
          <t>The LANDLORD pays EXTRAORDINARY costs (Art. 22 X): structural works, facade painting, anything restoring habitability.</t>
        </is>
      </c>
    </row>
    <row r="17">
      <c r="A17" s="5" t="inlineStr">
        <is>
          <t>The LANDLORD pays IPTU and fire insurance by default (Art. 22 VIII) - 'unless the contract says otherwise'. It almost always does.</t>
        </is>
      </c>
    </row>
    <row r="18">
      <c r="A18" s="3" t="inlineStr">
        <is>
          <t>THE LANDLORD PAYS THE COST OF CREDIT-CHECKING YOU (Art. 22 VII). If an agency charges you a 'taxa de analise cadastral', that is their cost, not yours.</t>
        </is>
      </c>
    </row>
    <row r="19">
      <c r="A19" s="5" t="inlineStr">
        <is>
          <t>The landlord must give an ITEMISED receipt (Art. 22 VI) - a generic 'quitacao' is prohibited.</t>
        </is>
      </c>
    </row>
    <row r="20">
      <c r="A20" s="3" t="inlineStr">
        <is>
          <t>ALWAYS DEMAND THE ENTRY INVENTORY (Art. 22 V): a written, photographed condition report listing existing defects, signed by both sides,</t>
        </is>
      </c>
    </row>
    <row r="21">
      <c r="A21" s="5" t="inlineStr">
        <is>
          <t>BEFORE you move a single box in. It is your only defence against losing the deposit over damage that was already there.</t>
        </is>
      </c>
    </row>
    <row r="22">
      <c r="A22" s="5" t="inlineStr"/>
    </row>
    <row r="23">
      <c r="A23" s="4" t="inlineStr">
        <is>
          <t>LEAVING</t>
        </is>
      </c>
    </row>
    <row r="24">
      <c r="A24" s="5" t="inlineStr">
        <is>
          <t>Open-ended tenancy: 30 days' written notice (Art. 6). Without it the landlord may charge one month.</t>
        </is>
      </c>
    </row>
    <row r="25">
      <c r="A25" s="3" t="inlineStr">
        <is>
          <t>Leaving early in a fixed term: the multa is PROPORTIONAL to the time remaining (Art. 4) - it is NOT a flat 3 months.</t>
        </is>
      </c>
    </row>
    <row r="26">
      <c r="A26" s="5" t="inlineStr">
        <is>
          <t>Example: a 30-month contract with a 3-month multa, left after 20 months (two-thirds served) means roughly ONE month, not three.</t>
        </is>
      </c>
    </row>
    <row r="27">
      <c r="A27" s="5" t="inlineStr">
        <is>
          <t>A contract stating a flat non-proportional multa regardless of time served is contrary to Art. 4. Challenge it.</t>
        </is>
      </c>
    </row>
    <row r="28">
      <c r="A28" s="5" t="inlineStr"/>
    </row>
    <row r="29">
      <c r="A29" s="4" t="inlineStr">
        <is>
          <t>RENT AND INCREASES</t>
        </is>
      </c>
    </row>
    <row r="30">
      <c r="A30" s="3" t="inlineStr">
        <is>
          <t>Rent MAY NOT be set in foreign currency, nor indexed to exchange rates or the minimum wage (Art. 17).</t>
        </is>
      </c>
    </row>
    <row r="31">
      <c r="A31" s="5" t="inlineStr">
        <is>
          <t>Relevant to you: a landlord quoting rent in dollars or euros because you are foreign is acting unlawfully.</t>
        </is>
      </c>
    </row>
    <row r="32">
      <c r="A32" s="5" t="inlineStr">
        <is>
          <t>Check which index the annual increase uses. IGP-M is far more volatile than IPCA and can produce a brutal rise. Push for IPCA if you can.</t>
        </is>
      </c>
    </row>
    <row r="33">
      <c r="A33" s="5" t="inlineStr"/>
    </row>
    <row r="34">
      <c r="A34" s="4" t="inlineStr">
        <is>
          <t>BOTH OF YOU MUST SIGN - and here is what that means</t>
        </is>
      </c>
    </row>
    <row r="35">
      <c r="A35" s="5" t="inlineStr">
        <is>
          <t>Multiple tenants are SOLIDARIAMENTE RESPONSAVEIS by default (Art. 2). Solidarity means the landlord can pursue EITHER of you for 100% of</t>
        </is>
      </c>
    </row>
    <row r="36">
      <c r="A36" s="5" t="inlineStr">
        <is>
          <t>the debt - not half each. If one moves out and stops paying, the other is legally liable for the entire rent.</t>
        </is>
      </c>
    </row>
    <row r="37">
      <c r="A37" s="3" t="inlineStr">
        <is>
          <t>Sign anyway. If only one of you signs, the other has NO legal right to be there - no protection from eviction, no claim on the deposit,</t>
        </is>
      </c>
    </row>
    <row r="38">
      <c r="A38" s="3" t="inlineStr">
        <is>
          <t>no standing at all. Legally, a guest. That is far worse than shared liability.</t>
        </is>
      </c>
    </row>
    <row r="39">
      <c r="A39" s="5" t="inlineStr">
        <is>
          <t>Protect yourselves three ways:</t>
        </is>
      </c>
    </row>
    <row r="40">
      <c r="A40" s="5" t="inlineStr">
        <is>
          <t xml:space="preserve">   a) Write a PRIVATE agreement between the two of you - rent split, notice owed to each other, how the caucao divides on exit, who finds a</t>
        </is>
      </c>
    </row>
    <row r="41">
      <c r="A41" s="5" t="inlineStr">
        <is>
          <t xml:space="preserve">      replacement. It does not bind the landlord but it is enforceable between you.</t>
        </is>
      </c>
    </row>
    <row r="42">
      <c r="A42" s="5" t="inlineStr">
        <is>
          <t xml:space="preserve">   b) Negotiate a SUBSTITUTION CLAUSE into the lease letting one of you be replaced by a mutually approved third party, with the departing</t>
        </is>
      </c>
    </row>
    <row r="43">
      <c r="A43" s="5" t="inlineStr">
        <is>
          <t xml:space="preserve">      tenant released. Many landlords accept it. Without it, 'one of us leaves' has no clean legal exit.</t>
        </is>
      </c>
    </row>
    <row r="44">
      <c r="A44" s="5" t="inlineStr">
        <is>
          <t xml:space="preserve">   c) Ask the insurer IN WRITING what happens to the guarantee if one of you leaves - if it was underwritten on both incomes, one leaving</t>
        </is>
      </c>
    </row>
    <row r="45">
      <c r="A45" s="5" t="inlineStr">
        <is>
          <t xml:space="preserve">      may breach the policy. Ask before signing, not after.</t>
        </is>
      </c>
    </row>
    <row r="46">
      <c r="A46" s="5" t="inlineStr"/>
    </row>
    <row r="47">
      <c r="A47" s="4" t="inlineStr">
        <is>
          <t>SCAMS - HARD RULES, NO EXCEPTIONS</t>
        </is>
      </c>
    </row>
    <row r="48">
      <c r="A48" s="3" t="inlineStr">
        <is>
          <t>1. NEVER send money before viewing the property in person. Deposit-before-viewing is the defining feature of rental fraud.</t>
        </is>
      </c>
    </row>
    <row r="49">
      <c r="A49" s="5" t="inlineStr">
        <is>
          <t>2. Verify the owner against the MATRICULA ATUALIZADA from the Cartorio de Registro de Imoveis. The name on it must match the ID of the person</t>
        </is>
      </c>
    </row>
    <row r="50">
      <c r="A50" s="5" t="inlineStr">
        <is>
          <t xml:space="preserve">   signing. A 'cousin managing it for the owner' with no written power of attorney is a scam pattern.</t>
        </is>
      </c>
    </row>
    <row r="51">
      <c r="A51" s="5" t="inlineStr">
        <is>
          <t>3. A WhatsApp-only landlord - no office, no CNPJ, no verifiable address, pressure to decide today - walk away.</t>
        </is>
      </c>
    </row>
    <row r="52">
      <c r="A52" s="5" t="inlineStr">
        <is>
          <t>4. Photos too good for the price? Reverse-image-search them. Stolen listings from other cities are common.</t>
        </is>
      </c>
    </row>
    <row r="53">
      <c r="A53" s="5" t="inlineStr">
        <is>
          <t>5. Ask for the agency's CRECI number and check it. Individual agents have one too.</t>
        </is>
      </c>
    </row>
    <row r="54">
      <c r="A54" s="5" t="inlineStr">
        <is>
          <t>6. Pay ONLY by traceable bank transfer to an account in the name on the matricula. Never cash, never a third party, never PIX to a personal</t>
        </is>
      </c>
    </row>
    <row r="55">
      <c r="A55" s="5" t="inlineStr">
        <is>
          <t xml:space="preserve">   number you cannot tie to the owner.</t>
        </is>
      </c>
    </row>
    <row r="56">
      <c r="A56" s="3" t="inlineStr">
        <is>
          <t>7. Being asked for a bigger deposit 'because you are foreign' is unlawful twice over - Art. 38 §2 and Art. 43 I.</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28" customWidth="1" min="1" max="1"/>
    <col width="74" customWidth="1" min="2" max="2"/>
    <col width="74" customWidth="1" min="3" max="3"/>
    <col width="68" customWidth="1" min="4" max="4"/>
  </cols>
  <sheetData>
    <row r="1">
      <c r="A1" s="6" t="inlineStr">
        <is>
          <t>THE TRAPS - read before any viewing</t>
        </is>
      </c>
    </row>
    <row r="2">
      <c r="A2" s="7" t="inlineStr">
        <is>
          <t>Every one of these was hit during this search. They are the specific ways a search like yours ends in a bad decision.</t>
        </is>
      </c>
    </row>
    <row r="4">
      <c r="A4" s="10" t="inlineStr">
        <is>
          <t>The trap</t>
        </is>
      </c>
      <c r="B4" s="10" t="inlineStr">
        <is>
          <t>What it is</t>
        </is>
      </c>
      <c r="C4" s="10" t="inlineStr">
        <is>
          <t>Why it matters</t>
        </is>
      </c>
      <c r="D4" s="10" t="inlineStr">
        <is>
          <t>What to do</t>
        </is>
      </c>
    </row>
    <row r="5">
      <c r="A5" s="36" t="inlineStr">
        <is>
          <t>PORTARIA VIRTUAL</t>
        </is>
      </c>
      <c r="B5" s="16" t="inlineStr">
        <is>
          <t>An advert says 'portaria 24h'. You picture a doorman. What arrives is a camera and an intercom to a call centre in another city.</t>
        </is>
      </c>
      <c r="C5" s="16" t="inlineStr">
        <is>
          <t>One listing on Av. Nove de Julho advertised exactly this. For your core concern - arriving home late - that distinction is the entire point.</t>
        </is>
      </c>
      <c r="D5" s="16" t="inlineStr">
        <is>
          <t>ASK: 'e portaria presencial ou remota?' Then VISIT AFTER 22h and confirm a human is physically in the lobby. Ask to meet the night porteiro by name.</t>
        </is>
      </c>
    </row>
    <row r="6">
      <c r="A6" s="36" t="inlineStr">
        <is>
          <t>THE BUTANTA TRAP</t>
        </is>
      </c>
      <c r="B6" s="16" t="inlineStr">
        <is>
          <t>Butanta looks ideal - one metro stop from Pinheiros, popular with students, seemingly affordable.</t>
        </is>
      </c>
      <c r="C6" s="16" t="inlineStr">
        <is>
          <t>Its robbery rate is 1,400 per 100k. That is HIGHER than the Itaim Bibi you are leaving (1,303), and the worst of any non-central district checked. It is also on Line 4, which has no Saturday night service.</t>
        </is>
      </c>
      <c r="D6" s="16" t="inlineStr">
        <is>
          <t>We steered toward it early and the crime data overturned it. Do not let the short commute do your thinking.</t>
        </is>
      </c>
    </row>
    <row r="7">
      <c r="A7" s="36" t="inlineStr">
        <is>
          <t>THE PENHA CEP TRAP</t>
        </is>
      </c>
      <c r="B7" s="16" t="inlineStr">
        <is>
          <t>Estacao Penha is administratively inside the VILA MATILDE district, not Penha de Franca. The pleasant Penha - the church, the market, the shopping centre - is 1.5 km north.</t>
        </is>
      </c>
      <c r="C7" s="16" t="inlineStr">
        <is>
          <t>So '2-dorm, 10 min from Metro Penha' is a Vila Matilde address wearing a Penha name. Penha district's robbery rate is 491 per 100k; the 21st DP covering Vila Matilde records 961 robberies a year.</t>
        </is>
      </c>
      <c r="D7" s="16" t="inlineStr">
        <is>
          <t>Check the CEP and the actual district on EVERY listing, never the bairro field the agent typed.</t>
        </is>
      </c>
    </row>
    <row r="8">
      <c r="A8" s="36" t="inlineStr">
        <is>
          <t>BAIRRO MIS-LABELLING GENERALLY</t>
        </is>
      </c>
      <c r="B8" s="16" t="inlineStr">
        <is>
          <t>Listings routinely claim 'Saude' or 'Bosque da Saude' for addresses in Jardim da Saude, Cursino or Vila Vera.</t>
        </is>
      </c>
      <c r="C8" s="16" t="inlineStr">
        <is>
          <t>One flat advertised as Bosque da Saude turned out to be 3.1 km - a 41-minute walk - from Praca da Arvore. It was otherwise the best sub-R$2,600 unit with a verified doorman in the whole south harvest.</t>
        </is>
      </c>
      <c r="D8" s="16" t="inlineStr">
        <is>
          <t>Verify the STREET in a maps app. Never trust the bairro field.</t>
        </is>
      </c>
    </row>
    <row r="9">
      <c r="A9" s="36" t="inlineStr">
        <is>
          <t>THE DISTANCE TRAP</t>
        </is>
      </c>
      <c r="B9" s="16" t="inlineStr">
        <is>
          <t>Av. do Rio Pequeno is marketed as Butanta and is 3.4-4.5 km from the metro - a 50-70 minute walk. Vila Carrao's cheap stock geocodes 24-53 minutes from any station. Cond. Floresta Azul was pitched to us as being near Guilhermina-Esperanca; it is 3.0 km away.</t>
        </is>
      </c>
      <c r="C9" s="16" t="inlineStr">
        <is>
          <t>All three look like bargains in a listing table. All three fail your non-negotiable outright. Vila Carrao's cheapness is real - it is simply priced for households with a car.</t>
        </is>
      </c>
      <c r="D9" s="16" t="inlineStr">
        <is>
          <t>If an advert does not state the walking minutes, assume it is bad news and check the map yourself. Agents omit it when it is unflattering.</t>
        </is>
      </c>
    </row>
    <row r="10">
      <c r="A10" s="36" t="inlineStr">
        <is>
          <t>THE CONDOMINIO TRAP</t>
        </is>
      </c>
      <c r="B10" s="16" t="inlineStr">
        <is>
          <t>Rua Tomaz da Mota, Butanta: rent R$1,900 - looks excellent. Condominio R$1,090 on 45 m2. All-in R$3,110.</t>
        </is>
      </c>
      <c r="C10" s="16" t="inlineStr">
        <is>
          <t>Cheap rent plus a heavy condominio is the commonest way a listing looks affordable and is not. Several of the best-looking rents in this file die here.</t>
        </is>
      </c>
      <c r="D10" s="16" t="inlineStr">
        <is>
          <t>Never look at a rent without its condominio beside it. The ALL-IN column does this for you.</t>
        </is>
      </c>
    </row>
    <row r="11">
      <c r="A11" s="36" t="inlineStr">
        <is>
          <t>THE 31 m2 'TWO BEDROOM'</t>
        </is>
      </c>
      <c r="B11" s="16" t="inlineStr">
        <is>
          <t>Many cheap 2-dorm flats are 29-40 m2. One listing was titled '2 DORM' while its own specification said '1 quarto'. Another had the second bedroom serving as a closet.</t>
        </is>
      </c>
      <c r="C11" s="16" t="inlineStr">
        <is>
          <t>Two rooms of 7 m2 is not the space and privacy you are leaving an 8-woman flat to find. For two models, wardrobe space will bind before floor space does.</t>
        </is>
      </c>
      <c r="D11" s="16" t="inlineStr">
        <is>
          <t>Demand the planta before viewing. Measure both rooms. Confirm the second bedroom has a window.</t>
        </is>
      </c>
    </row>
    <row r="12">
      <c r="A12" s="36" t="inlineStr">
        <is>
          <t>CRACOLANDIA DRIFT</t>
        </is>
      </c>
      <c r="B12" s="16" t="inlineStr">
        <is>
          <t>Rua Dr. Cesario Mota Junior, Praca Marechal Deodoro and the western end of Rua das Palmeiras sit inside the drift radius of a scene that has moved repeatedly around Campos Eliseos and Santa Cecilia.</t>
        </is>
      </c>
      <c r="C12" s="16" t="inlineStr">
        <is>
          <t>Those blocks offer big cheap flats - a 66 m2 at R$2,905. The cheapness IS the warning, not the bargain.</t>
        </is>
      </c>
      <c r="D12" s="16" t="inlineStr">
        <is>
          <t>Not recommended at any price for two women coming home late. Campos Eliseos: reject entirely.</t>
        </is>
      </c>
    </row>
    <row r="13">
      <c r="A13" s="36" t="inlineStr">
        <is>
          <t>BAIXO BELA VISTA</t>
        </is>
      </c>
      <c r="B13" s="16" t="inlineStr">
        <is>
          <t>Bela Vista was ranked the capital's SAFEST district in one Dec-2025 resident survey.</t>
        </is>
      </c>
      <c r="C13" s="16" t="inlineStr">
        <is>
          <t>That survey measures perception and averages Rua Itapeva together with the Nove de Julho underpass. The district's actual robbery rate is 2,342 per 100k - nearly twice Itaim Bibi's. The Paulista side is genuinely fine; Baixo Bela Vista is a sunken expressway corridor with no eyes on the street.</t>
        </is>
      </c>
      <c r="D13" s="16" t="inlineStr">
        <is>
          <t>Never clear a specific block using a district-level survey. Bela Vista is a brand, not a place.</t>
        </is>
      </c>
    </row>
    <row r="14">
      <c r="A14" s="36" t="inlineStr">
        <is>
          <t>THE 24-HOUR METRO THAT MAY NOT EXIST</t>
        </is>
      </c>
      <c r="B14" s="16" t="inlineStr">
        <is>
          <t>Saturday all-night service on lines 1, 2, 3 and 15 is an EXPERIMENT officially declared to run 'until September 2026'.</t>
        </is>
      </c>
      <c r="C14" s="16" t="inlineStr">
        <is>
          <t>That is now. No announcement confirming an extension could be found. If it lapses, even the one night a week you could train home disappears.</t>
        </is>
      </c>
      <c r="D14" s="16" t="inlineStr">
        <is>
          <t>Verify it before signing any lease that depends on it.</t>
        </is>
      </c>
    </row>
    <row r="15">
      <c r="A15" s="36" t="inlineStr">
        <is>
          <t>STALE LISTINGS</t>
        </is>
      </c>
      <c r="B15" s="16" t="inlineStr">
        <is>
          <t>Several units carried listing IDs far below the current range, or were last updated months ago. One anomalously cheap 50 m2 with pool and doorman at R$1,390 is either stale, a promotion, or bait.</t>
        </is>
      </c>
      <c r="C15" s="16" t="inlineStr">
        <is>
          <t>You can lose weeks chasing flats that were let long ago.</t>
        </is>
      </c>
      <c r="D15" s="16" t="inlineStr">
        <is>
          <t>Phone before travelling: 'este imovel ainda esta disponivel? quando foi atualizado?'</t>
        </is>
      </c>
    </row>
    <row r="16">
      <c r="A16" s="36" t="inlineStr">
        <is>
          <t>THE INCOME SCREEN</t>
        </is>
      </c>
      <c r="B16" s="16" t="inlineStr">
        <is>
          <t>Direct House Imoveis, holding the Av. do Rio Pequeno cluster, requires proven family income of R$8,000.</t>
        </is>
      </c>
      <c r="C16" s="16" t="inlineStr">
        <is>
          <t>Agencies rarely publish this. You find out after you have fallen in love with the flat.</t>
        </is>
      </c>
      <c r="D16" s="16" t="inlineStr">
        <is>
          <t>Ask about the income requirement and the guarantee type on the FIRST call, before booking any viewing.</t>
        </is>
      </c>
    </row>
    <row r="17">
      <c r="A17" s="36" t="inlineStr">
        <is>
          <t>SACOMA AND VILA MATILDE</t>
        </is>
      </c>
      <c r="B17" s="16" t="inlineStr">
        <is>
          <t>Sacoma: 32% of residents feel safe, it borders Heliopolis, residents report chronic lighting failure and open drug use. Vila Matilde: 38% feel safe, 961 robberies a year, documented mass muggings at bus stops.</t>
        </is>
      </c>
      <c r="C17" s="16" t="inlineStr">
        <is>
          <t>These are where the genuinely cheap 2-bedrooms near a metro are. Vila Matilde in particular has 75 m2 at R$2,700 - triple what that money buys in Pinheiros.</t>
        </is>
      </c>
      <c r="D17" s="16" t="inlineStr">
        <is>
          <t>They are in this file so the trade is visible and yours to make. Not a judgement on those communities - a judgement on two women in their twenties walking home alone at night.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51"/>
  <sheetViews>
    <sheetView showGridLines="0" workbookViewId="0">
      <pane ySplit="4" topLeftCell="A5" activePane="bottomLeft" state="frozen"/>
      <selection pane="bottomLeft" activeCell="A1" sqref="A1"/>
    </sheetView>
  </sheetViews>
  <sheetFormatPr baseColWidth="8" defaultRowHeight="15"/>
  <cols>
    <col width="11" customWidth="1" min="1" max="1"/>
    <col width="34" customWidth="1" min="2" max="2"/>
    <col width="11" customWidth="1" min="3" max="3"/>
    <col width="26" customWidth="1" min="4" max="4"/>
    <col width="16" customWidth="1" min="5" max="5"/>
    <col width="15" customWidth="1" min="6" max="6"/>
    <col width="16" customWidth="1" min="7" max="7"/>
    <col width="14" customWidth="1" min="8" max="8"/>
    <col width="15" customWidth="1" min="9" max="9"/>
    <col width="15" customWidth="1" min="10" max="10"/>
    <col width="16" customWidth="1" min="11" max="11"/>
    <col width="13" customWidth="1" min="12" max="12"/>
    <col width="13" customWidth="1" min="13" max="13"/>
    <col width="10" customWidth="1" min="14" max="14"/>
    <col width="32" customWidth="1" min="15" max="15"/>
    <col width="12" customWidth="1" min="16" max="16"/>
  </cols>
  <sheetData>
    <row r="1">
      <c r="A1" s="6" t="inlineStr">
        <is>
          <t>VIEWING LOG</t>
        </is>
      </c>
    </row>
    <row r="2">
      <c r="A2" s="7" t="inlineStr">
        <is>
          <t>Row 5 is a worked example - overwrite or delete it. Score each item 0 (no/bad), 1 (partly), 2 (yes/good). The SCORE column adds itself up.</t>
        </is>
      </c>
    </row>
    <row r="3">
      <c r="A3" s="8" t="inlineStr">
        <is>
          <t>VISIT EVERY SHORTLISTED FLAT TWICE - once in daylight, once after 21:00. If you do only one thing from this whole file, make it the second visit. Anything scoring under 14 of 22: walk away. There will be another flat.</t>
        </is>
      </c>
    </row>
    <row r="4" ht="70" customHeight="1">
      <c r="A4" s="10" t="inlineStr">
        <is>
          <t>Date</t>
        </is>
      </c>
      <c r="B4" s="10" t="inlineStr">
        <is>
          <t>Address</t>
        </is>
      </c>
      <c r="C4" s="10" t="inlineStr">
        <is>
          <t>All-in R$</t>
        </is>
      </c>
      <c r="D4" s="10" t="inlineStr">
        <is>
          <t>Agency + phone</t>
        </is>
      </c>
      <c r="E4" s="10" t="inlineStr">
        <is>
          <t>Two REAL bedrooms, both with windows</t>
        </is>
      </c>
      <c r="F4" s="10" t="inlineStr">
        <is>
          <t>Live porteiro SEEN after 22h</t>
        </is>
      </c>
      <c r="G4" s="10" t="inlineStr">
        <is>
          <t>Walk from station timed after dark</t>
        </is>
      </c>
      <c r="H4" s="10" t="inlineStr">
        <is>
          <t>Route lit + people about</t>
        </is>
      </c>
      <c r="I4" s="10" t="inlineStr">
        <is>
          <t>Late commerce on the route</t>
        </is>
      </c>
      <c r="J4" s="10" t="inlineStr">
        <is>
          <t>Lobby door self-closes + lit</t>
        </is>
      </c>
      <c r="K4" s="10" t="inlineStr">
        <is>
          <t>No blind spots at entrance/garage</t>
        </is>
      </c>
      <c r="L4" s="10" t="inlineStr">
        <is>
          <t>Water pressure + no mould</t>
        </is>
      </c>
      <c r="M4" s="10" t="inlineStr">
        <is>
          <t>Spoke to a current resident</t>
        </is>
      </c>
      <c r="N4" s="10" t="inlineStr">
        <is>
          <t>SCORE /22</t>
        </is>
      </c>
      <c r="O4" s="10" t="inlineStr">
        <is>
          <t>Gut feeling at night</t>
        </is>
      </c>
      <c r="P4" s="10" t="inlineStr">
        <is>
          <t>Decision</t>
        </is>
      </c>
    </row>
    <row r="5">
      <c r="A5" s="37" t="inlineStr">
        <is>
          <t>2026-09-25</t>
        </is>
      </c>
      <c r="B5" s="37" t="inlineStr">
        <is>
          <t>Cond. Margaridas AL259, Lapa</t>
        </is>
      </c>
      <c r="C5" s="38" t="n">
        <v>2396</v>
      </c>
      <c r="D5" s="37" t="inlineStr">
        <is>
          <t>Daniel Ruedas (11) 98148-9942</t>
        </is>
      </c>
      <c r="E5" s="39" t="n">
        <v>2</v>
      </c>
      <c r="F5" s="39" t="n">
        <v>2</v>
      </c>
      <c r="G5" s="39" t="n">
        <v>2</v>
      </c>
      <c r="H5" s="39" t="n">
        <v>2</v>
      </c>
      <c r="I5" s="39" t="n">
        <v>1</v>
      </c>
      <c r="J5" s="39" t="n">
        <v>2</v>
      </c>
      <c r="K5" s="39" t="n">
        <v>1</v>
      </c>
      <c r="L5" s="39" t="n">
        <v>2</v>
      </c>
      <c r="M5" s="39" t="n">
        <v>1</v>
      </c>
      <c r="N5" s="40">
        <f>SUM(E5:M5)</f>
        <v/>
      </c>
      <c r="O5" s="37" t="inlineStr">
        <is>
          <t>Lobby staffed, street busy - fine</t>
        </is>
      </c>
      <c r="P5" s="37" t="inlineStr">
        <is>
          <t>Apply</t>
        </is>
      </c>
    </row>
    <row r="6">
      <c r="A6" s="41" t="n"/>
      <c r="B6" s="41" t="n"/>
      <c r="C6" s="42" t="n"/>
      <c r="D6" s="41" t="n"/>
      <c r="E6" s="43" t="n"/>
      <c r="F6" s="43" t="n"/>
      <c r="G6" s="43" t="n"/>
      <c r="H6" s="43" t="n"/>
      <c r="I6" s="43" t="n"/>
      <c r="J6" s="43" t="n"/>
      <c r="K6" s="43" t="n"/>
      <c r="L6" s="43" t="n"/>
      <c r="M6" s="43" t="n"/>
      <c r="N6" s="44">
        <f>IF(COUNT(E6:M6)=0,"",SUM(E6:M6))</f>
        <v/>
      </c>
      <c r="O6" s="41" t="n"/>
      <c r="P6" s="41" t="n"/>
    </row>
    <row r="7">
      <c r="A7" s="41" t="n"/>
      <c r="B7" s="41" t="n"/>
      <c r="C7" s="42" t="n"/>
      <c r="D7" s="41" t="n"/>
      <c r="E7" s="43" t="n"/>
      <c r="F7" s="43" t="n"/>
      <c r="G7" s="43" t="n"/>
      <c r="H7" s="43" t="n"/>
      <c r="I7" s="43" t="n"/>
      <c r="J7" s="43" t="n"/>
      <c r="K7" s="43" t="n"/>
      <c r="L7" s="43" t="n"/>
      <c r="M7" s="43" t="n"/>
      <c r="N7" s="44">
        <f>IF(COUNT(E7:M7)=0,"",SUM(E7:M7))</f>
        <v/>
      </c>
      <c r="O7" s="41" t="n"/>
      <c r="P7" s="41" t="n"/>
    </row>
    <row r="8">
      <c r="A8" s="41" t="n"/>
      <c r="B8" s="41" t="n"/>
      <c r="C8" s="42" t="n"/>
      <c r="D8" s="41" t="n"/>
      <c r="E8" s="43" t="n"/>
      <c r="F8" s="43" t="n"/>
      <c r="G8" s="43" t="n"/>
      <c r="H8" s="43" t="n"/>
      <c r="I8" s="43" t="n"/>
      <c r="J8" s="43" t="n"/>
      <c r="K8" s="43" t="n"/>
      <c r="L8" s="43" t="n"/>
      <c r="M8" s="43" t="n"/>
      <c r="N8" s="44">
        <f>IF(COUNT(E8:M8)=0,"",SUM(E8:M8))</f>
        <v/>
      </c>
      <c r="O8" s="41" t="n"/>
      <c r="P8" s="41" t="n"/>
    </row>
    <row r="9">
      <c r="A9" s="41" t="n"/>
      <c r="B9" s="41" t="n"/>
      <c r="C9" s="42" t="n"/>
      <c r="D9" s="41" t="n"/>
      <c r="E9" s="43" t="n"/>
      <c r="F9" s="43" t="n"/>
      <c r="G9" s="43" t="n"/>
      <c r="H9" s="43" t="n"/>
      <c r="I9" s="43" t="n"/>
      <c r="J9" s="43" t="n"/>
      <c r="K9" s="43" t="n"/>
      <c r="L9" s="43" t="n"/>
      <c r="M9" s="43" t="n"/>
      <c r="N9" s="44">
        <f>IF(COUNT(E9:M9)=0,"",SUM(E9:M9))</f>
        <v/>
      </c>
      <c r="O9" s="41" t="n"/>
      <c r="P9" s="41" t="n"/>
    </row>
    <row r="10">
      <c r="A10" s="41" t="n"/>
      <c r="B10" s="41" t="n"/>
      <c r="C10" s="42" t="n"/>
      <c r="D10" s="41" t="n"/>
      <c r="E10" s="43" t="n"/>
      <c r="F10" s="43" t="n"/>
      <c r="G10" s="43" t="n"/>
      <c r="H10" s="43" t="n"/>
      <c r="I10" s="43" t="n"/>
      <c r="J10" s="43" t="n"/>
      <c r="K10" s="43" t="n"/>
      <c r="L10" s="43" t="n"/>
      <c r="M10" s="43" t="n"/>
      <c r="N10" s="44">
        <f>IF(COUNT(E10:M10)=0,"",SUM(E10:M10))</f>
        <v/>
      </c>
      <c r="O10" s="41" t="n"/>
      <c r="P10" s="41" t="n"/>
    </row>
    <row r="11">
      <c r="A11" s="41" t="n"/>
      <c r="B11" s="41" t="n"/>
      <c r="C11" s="42" t="n"/>
      <c r="D11" s="41" t="n"/>
      <c r="E11" s="43" t="n"/>
      <c r="F11" s="43" t="n"/>
      <c r="G11" s="43" t="n"/>
      <c r="H11" s="43" t="n"/>
      <c r="I11" s="43" t="n"/>
      <c r="J11" s="43" t="n"/>
      <c r="K11" s="43" t="n"/>
      <c r="L11" s="43" t="n"/>
      <c r="M11" s="43" t="n"/>
      <c r="N11" s="44">
        <f>IF(COUNT(E11:M11)=0,"",SUM(E11:M11))</f>
        <v/>
      </c>
      <c r="O11" s="41" t="n"/>
      <c r="P11" s="41" t="n"/>
    </row>
    <row r="12">
      <c r="A12" s="41" t="n"/>
      <c r="B12" s="41" t="n"/>
      <c r="C12" s="42" t="n"/>
      <c r="D12" s="41" t="n"/>
      <c r="E12" s="43" t="n"/>
      <c r="F12" s="43" t="n"/>
      <c r="G12" s="43" t="n"/>
      <c r="H12" s="43" t="n"/>
      <c r="I12" s="43" t="n"/>
      <c r="J12" s="43" t="n"/>
      <c r="K12" s="43" t="n"/>
      <c r="L12" s="43" t="n"/>
      <c r="M12" s="43" t="n"/>
      <c r="N12" s="44">
        <f>IF(COUNT(E12:M12)=0,"",SUM(E12:M12))</f>
        <v/>
      </c>
      <c r="O12" s="41" t="n"/>
      <c r="P12" s="41" t="n"/>
    </row>
    <row r="13">
      <c r="A13" s="41" t="n"/>
      <c r="B13" s="41" t="n"/>
      <c r="C13" s="42" t="n"/>
      <c r="D13" s="41" t="n"/>
      <c r="E13" s="43" t="n"/>
      <c r="F13" s="43" t="n"/>
      <c r="G13" s="43" t="n"/>
      <c r="H13" s="43" t="n"/>
      <c r="I13" s="43" t="n"/>
      <c r="J13" s="43" t="n"/>
      <c r="K13" s="43" t="n"/>
      <c r="L13" s="43" t="n"/>
      <c r="M13" s="43" t="n"/>
      <c r="N13" s="44">
        <f>IF(COUNT(E13:M13)=0,"",SUM(E13:M13))</f>
        <v/>
      </c>
      <c r="O13" s="41" t="n"/>
      <c r="P13" s="41" t="n"/>
    </row>
    <row r="14">
      <c r="A14" s="41" t="n"/>
      <c r="B14" s="41" t="n"/>
      <c r="C14" s="42" t="n"/>
      <c r="D14" s="41" t="n"/>
      <c r="E14" s="43" t="n"/>
      <c r="F14" s="43" t="n"/>
      <c r="G14" s="43" t="n"/>
      <c r="H14" s="43" t="n"/>
      <c r="I14" s="43" t="n"/>
      <c r="J14" s="43" t="n"/>
      <c r="K14" s="43" t="n"/>
      <c r="L14" s="43" t="n"/>
      <c r="M14" s="43" t="n"/>
      <c r="N14" s="44">
        <f>IF(COUNT(E14:M14)=0,"",SUM(E14:M14))</f>
        <v/>
      </c>
      <c r="O14" s="41" t="n"/>
      <c r="P14" s="41" t="n"/>
    </row>
    <row r="15">
      <c r="A15" s="41" t="n"/>
      <c r="B15" s="41" t="n"/>
      <c r="C15" s="42" t="n"/>
      <c r="D15" s="41" t="n"/>
      <c r="E15" s="43" t="n"/>
      <c r="F15" s="43" t="n"/>
      <c r="G15" s="43" t="n"/>
      <c r="H15" s="43" t="n"/>
      <c r="I15" s="43" t="n"/>
      <c r="J15" s="43" t="n"/>
      <c r="K15" s="43" t="n"/>
      <c r="L15" s="43" t="n"/>
      <c r="M15" s="43" t="n"/>
      <c r="N15" s="44">
        <f>IF(COUNT(E15:M15)=0,"",SUM(E15:M15))</f>
        <v/>
      </c>
      <c r="O15" s="41" t="n"/>
      <c r="P15" s="41" t="n"/>
    </row>
    <row r="16">
      <c r="A16" s="41" t="n"/>
      <c r="B16" s="41" t="n"/>
      <c r="C16" s="42" t="n"/>
      <c r="D16" s="41" t="n"/>
      <c r="E16" s="43" t="n"/>
      <c r="F16" s="43" t="n"/>
      <c r="G16" s="43" t="n"/>
      <c r="H16" s="43" t="n"/>
      <c r="I16" s="43" t="n"/>
      <c r="J16" s="43" t="n"/>
      <c r="K16" s="43" t="n"/>
      <c r="L16" s="43" t="n"/>
      <c r="M16" s="43" t="n"/>
      <c r="N16" s="44">
        <f>IF(COUNT(E16:M16)=0,"",SUM(E16:M16))</f>
        <v/>
      </c>
      <c r="O16" s="41" t="n"/>
      <c r="P16" s="41" t="n"/>
    </row>
    <row r="17">
      <c r="A17" s="41" t="n"/>
      <c r="B17" s="41" t="n"/>
      <c r="C17" s="42" t="n"/>
      <c r="D17" s="41" t="n"/>
      <c r="E17" s="43" t="n"/>
      <c r="F17" s="43" t="n"/>
      <c r="G17" s="43" t="n"/>
      <c r="H17" s="43" t="n"/>
      <c r="I17" s="43" t="n"/>
      <c r="J17" s="43" t="n"/>
      <c r="K17" s="43" t="n"/>
      <c r="L17" s="43" t="n"/>
      <c r="M17" s="43" t="n"/>
      <c r="N17" s="44">
        <f>IF(COUNT(E17:M17)=0,"",SUM(E17:M17))</f>
        <v/>
      </c>
      <c r="O17" s="41" t="n"/>
      <c r="P17" s="41" t="n"/>
    </row>
    <row r="18">
      <c r="A18" s="41" t="n"/>
      <c r="B18" s="41" t="n"/>
      <c r="C18" s="42" t="n"/>
      <c r="D18" s="41" t="n"/>
      <c r="E18" s="43" t="n"/>
      <c r="F18" s="43" t="n"/>
      <c r="G18" s="43" t="n"/>
      <c r="H18" s="43" t="n"/>
      <c r="I18" s="43" t="n"/>
      <c r="J18" s="43" t="n"/>
      <c r="K18" s="43" t="n"/>
      <c r="L18" s="43" t="n"/>
      <c r="M18" s="43" t="n"/>
      <c r="N18" s="44">
        <f>IF(COUNT(E18:M18)=0,"",SUM(E18:M18))</f>
        <v/>
      </c>
      <c r="O18" s="41" t="n"/>
      <c r="P18" s="41" t="n"/>
    </row>
    <row r="19">
      <c r="A19" s="41" t="n"/>
      <c r="B19" s="41" t="n"/>
      <c r="C19" s="42" t="n"/>
      <c r="D19" s="41" t="n"/>
      <c r="E19" s="43" t="n"/>
      <c r="F19" s="43" t="n"/>
      <c r="G19" s="43" t="n"/>
      <c r="H19" s="43" t="n"/>
      <c r="I19" s="43" t="n"/>
      <c r="J19" s="43" t="n"/>
      <c r="K19" s="43" t="n"/>
      <c r="L19" s="43" t="n"/>
      <c r="M19" s="43" t="n"/>
      <c r="N19" s="44">
        <f>IF(COUNT(E19:M19)=0,"",SUM(E19:M19))</f>
        <v/>
      </c>
      <c r="O19" s="41" t="n"/>
      <c r="P19" s="41" t="n"/>
    </row>
    <row r="20">
      <c r="A20" s="41" t="n"/>
      <c r="B20" s="41" t="n"/>
      <c r="C20" s="42" t="n"/>
      <c r="D20" s="41" t="n"/>
      <c r="E20" s="43" t="n"/>
      <c r="F20" s="43" t="n"/>
      <c r="G20" s="43" t="n"/>
      <c r="H20" s="43" t="n"/>
      <c r="I20" s="43" t="n"/>
      <c r="J20" s="43" t="n"/>
      <c r="K20" s="43" t="n"/>
      <c r="L20" s="43" t="n"/>
      <c r="M20" s="43" t="n"/>
      <c r="N20" s="44">
        <f>IF(COUNT(E20:M20)=0,"",SUM(E20:M20))</f>
        <v/>
      </c>
      <c r="O20" s="41" t="n"/>
      <c r="P20" s="41" t="n"/>
    </row>
    <row r="21">
      <c r="A21" s="41" t="n"/>
      <c r="B21" s="41" t="n"/>
      <c r="C21" s="42" t="n"/>
      <c r="D21" s="41" t="n"/>
      <c r="E21" s="43" t="n"/>
      <c r="F21" s="43" t="n"/>
      <c r="G21" s="43" t="n"/>
      <c r="H21" s="43" t="n"/>
      <c r="I21" s="43" t="n"/>
      <c r="J21" s="43" t="n"/>
      <c r="K21" s="43" t="n"/>
      <c r="L21" s="43" t="n"/>
      <c r="M21" s="43" t="n"/>
      <c r="N21" s="44">
        <f>IF(COUNT(E21:M21)=0,"",SUM(E21:M21))</f>
        <v/>
      </c>
      <c r="O21" s="41" t="n"/>
      <c r="P21" s="41" t="n"/>
    </row>
    <row r="22">
      <c r="A22" s="41" t="n"/>
      <c r="B22" s="41" t="n"/>
      <c r="C22" s="42" t="n"/>
      <c r="D22" s="41" t="n"/>
      <c r="E22" s="43" t="n"/>
      <c r="F22" s="43" t="n"/>
      <c r="G22" s="43" t="n"/>
      <c r="H22" s="43" t="n"/>
      <c r="I22" s="43" t="n"/>
      <c r="J22" s="43" t="n"/>
      <c r="K22" s="43" t="n"/>
      <c r="L22" s="43" t="n"/>
      <c r="M22" s="43" t="n"/>
      <c r="N22" s="44">
        <f>IF(COUNT(E22:M22)=0,"",SUM(E22:M22))</f>
        <v/>
      </c>
      <c r="O22" s="41" t="n"/>
      <c r="P22" s="41" t="n"/>
    </row>
    <row r="23">
      <c r="A23" s="41" t="n"/>
      <c r="B23" s="41" t="n"/>
      <c r="C23" s="42" t="n"/>
      <c r="D23" s="41" t="n"/>
      <c r="E23" s="43" t="n"/>
      <c r="F23" s="43" t="n"/>
      <c r="G23" s="43" t="n"/>
      <c r="H23" s="43" t="n"/>
      <c r="I23" s="43" t="n"/>
      <c r="J23" s="43" t="n"/>
      <c r="K23" s="43" t="n"/>
      <c r="L23" s="43" t="n"/>
      <c r="M23" s="43" t="n"/>
      <c r="N23" s="44">
        <f>IF(COUNT(E23:M23)=0,"",SUM(E23:M23))</f>
        <v/>
      </c>
      <c r="O23" s="41" t="n"/>
      <c r="P23" s="41" t="n"/>
    </row>
    <row r="24">
      <c r="A24" s="41" t="n"/>
      <c r="B24" s="41" t="n"/>
      <c r="C24" s="42" t="n"/>
      <c r="D24" s="41" t="n"/>
      <c r="E24" s="43" t="n"/>
      <c r="F24" s="43" t="n"/>
      <c r="G24" s="43" t="n"/>
      <c r="H24" s="43" t="n"/>
      <c r="I24" s="43" t="n"/>
      <c r="J24" s="43" t="n"/>
      <c r="K24" s="43" t="n"/>
      <c r="L24" s="43" t="n"/>
      <c r="M24" s="43" t="n"/>
      <c r="N24" s="44">
        <f>IF(COUNT(E24:M24)=0,"",SUM(E24:M24))</f>
        <v/>
      </c>
      <c r="O24" s="41" t="n"/>
      <c r="P24" s="41" t="n"/>
    </row>
    <row r="25">
      <c r="A25" s="41" t="n"/>
      <c r="B25" s="41" t="n"/>
      <c r="C25" s="42" t="n"/>
      <c r="D25" s="41" t="n"/>
      <c r="E25" s="43" t="n"/>
      <c r="F25" s="43" t="n"/>
      <c r="G25" s="43" t="n"/>
      <c r="H25" s="43" t="n"/>
      <c r="I25" s="43" t="n"/>
      <c r="J25" s="43" t="n"/>
      <c r="K25" s="43" t="n"/>
      <c r="L25" s="43" t="n"/>
      <c r="M25" s="43" t="n"/>
      <c r="N25" s="44">
        <f>IF(COUNT(E25:M25)=0,"",SUM(E25:M25))</f>
        <v/>
      </c>
      <c r="O25" s="41" t="n"/>
      <c r="P25" s="41" t="n"/>
    </row>
    <row r="26">
      <c r="A26" s="41" t="n"/>
      <c r="B26" s="41" t="n"/>
      <c r="C26" s="42" t="n"/>
      <c r="D26" s="41" t="n"/>
      <c r="E26" s="43" t="n"/>
      <c r="F26" s="43" t="n"/>
      <c r="G26" s="43" t="n"/>
      <c r="H26" s="43" t="n"/>
      <c r="I26" s="43" t="n"/>
      <c r="J26" s="43" t="n"/>
      <c r="K26" s="43" t="n"/>
      <c r="L26" s="43" t="n"/>
      <c r="M26" s="43" t="n"/>
      <c r="N26" s="44">
        <f>IF(COUNT(E26:M26)=0,"",SUM(E26:M26))</f>
        <v/>
      </c>
      <c r="O26" s="41" t="n"/>
      <c r="P26" s="41" t="n"/>
    </row>
    <row r="27">
      <c r="A27" s="41" t="n"/>
      <c r="B27" s="41" t="n"/>
      <c r="C27" s="42" t="n"/>
      <c r="D27" s="41" t="n"/>
      <c r="E27" s="43" t="n"/>
      <c r="F27" s="43" t="n"/>
      <c r="G27" s="43" t="n"/>
      <c r="H27" s="43" t="n"/>
      <c r="I27" s="43" t="n"/>
      <c r="J27" s="43" t="n"/>
      <c r="K27" s="43" t="n"/>
      <c r="L27" s="43" t="n"/>
      <c r="M27" s="43" t="n"/>
      <c r="N27" s="44">
        <f>IF(COUNT(E27:M27)=0,"",SUM(E27:M27))</f>
        <v/>
      </c>
      <c r="O27" s="41" t="n"/>
      <c r="P27" s="41" t="n"/>
    </row>
    <row r="28">
      <c r="A28" s="41" t="n"/>
      <c r="B28" s="41" t="n"/>
      <c r="C28" s="42" t="n"/>
      <c r="D28" s="41" t="n"/>
      <c r="E28" s="43" t="n"/>
      <c r="F28" s="43" t="n"/>
      <c r="G28" s="43" t="n"/>
      <c r="H28" s="43" t="n"/>
      <c r="I28" s="43" t="n"/>
      <c r="J28" s="43" t="n"/>
      <c r="K28" s="43" t="n"/>
      <c r="L28" s="43" t="n"/>
      <c r="M28" s="43" t="n"/>
      <c r="N28" s="44">
        <f>IF(COUNT(E28:M28)=0,"",SUM(E28:M28))</f>
        <v/>
      </c>
      <c r="O28" s="41" t="n"/>
      <c r="P28" s="41" t="n"/>
    </row>
    <row r="29">
      <c r="A29" s="41" t="n"/>
      <c r="B29" s="41" t="n"/>
      <c r="C29" s="42" t="n"/>
      <c r="D29" s="41" t="n"/>
      <c r="E29" s="43" t="n"/>
      <c r="F29" s="43" t="n"/>
      <c r="G29" s="43" t="n"/>
      <c r="H29" s="43" t="n"/>
      <c r="I29" s="43" t="n"/>
      <c r="J29" s="43" t="n"/>
      <c r="K29" s="43" t="n"/>
      <c r="L29" s="43" t="n"/>
      <c r="M29" s="43" t="n"/>
      <c r="N29" s="44">
        <f>IF(COUNT(E29:M29)=0,"",SUM(E29:M29))</f>
        <v/>
      </c>
      <c r="O29" s="41" t="n"/>
      <c r="P29" s="41" t="n"/>
    </row>
    <row r="30">
      <c r="A30" s="41" t="n"/>
      <c r="B30" s="41" t="n"/>
      <c r="C30" s="42" t="n"/>
      <c r="D30" s="41" t="n"/>
      <c r="E30" s="43" t="n"/>
      <c r="F30" s="43" t="n"/>
      <c r="G30" s="43" t="n"/>
      <c r="H30" s="43" t="n"/>
      <c r="I30" s="43" t="n"/>
      <c r="J30" s="43" t="n"/>
      <c r="K30" s="43" t="n"/>
      <c r="L30" s="43" t="n"/>
      <c r="M30" s="43" t="n"/>
      <c r="N30" s="44">
        <f>IF(COUNT(E30:M30)=0,"",SUM(E30:M30))</f>
        <v/>
      </c>
      <c r="O30" s="41" t="n"/>
      <c r="P30" s="41" t="n"/>
    </row>
    <row r="31">
      <c r="A31" s="41" t="n"/>
      <c r="B31" s="41" t="n"/>
      <c r="C31" s="42" t="n"/>
      <c r="D31" s="41" t="n"/>
      <c r="E31" s="43" t="n"/>
      <c r="F31" s="43" t="n"/>
      <c r="G31" s="43" t="n"/>
      <c r="H31" s="43" t="n"/>
      <c r="I31" s="43" t="n"/>
      <c r="J31" s="43" t="n"/>
      <c r="K31" s="43" t="n"/>
      <c r="L31" s="43" t="n"/>
      <c r="M31" s="43" t="n"/>
      <c r="N31" s="44">
        <f>IF(COUNT(E31:M31)=0,"",SUM(E31:M31))</f>
        <v/>
      </c>
      <c r="O31" s="41" t="n"/>
      <c r="P31" s="41" t="n"/>
    </row>
    <row r="32">
      <c r="A32" s="41" t="n"/>
      <c r="B32" s="41" t="n"/>
      <c r="C32" s="42" t="n"/>
      <c r="D32" s="41" t="n"/>
      <c r="E32" s="43" t="n"/>
      <c r="F32" s="43" t="n"/>
      <c r="G32" s="43" t="n"/>
      <c r="H32" s="43" t="n"/>
      <c r="I32" s="43" t="n"/>
      <c r="J32" s="43" t="n"/>
      <c r="K32" s="43" t="n"/>
      <c r="L32" s="43" t="n"/>
      <c r="M32" s="43" t="n"/>
      <c r="N32" s="44">
        <f>IF(COUNT(E32:M32)=0,"",SUM(E32:M32))</f>
        <v/>
      </c>
      <c r="O32" s="41" t="n"/>
      <c r="P32" s="41" t="n"/>
    </row>
    <row r="35">
      <c r="A35" s="25" t="inlineStr">
        <is>
          <t>ASK THESE ON THE PHONE, BEFORE YOU AGREE TO VIEW</t>
        </is>
      </c>
    </row>
    <row r="36">
      <c r="A36" s="19" t="inlineStr">
        <is>
          <t xml:space="preserve">  1. A portaria e presencial 24 horas, ou remota / virtual?</t>
        </is>
      </c>
    </row>
    <row r="37">
      <c r="A37" s="19" t="inlineStr">
        <is>
          <t xml:space="preserve">  2. Qual o valor do condominio E do IPTU?  (Both numbers. Never accept the rent alone.)</t>
        </is>
      </c>
    </row>
    <row r="38">
      <c r="A38" s="19" t="inlineStr">
        <is>
          <t xml:space="preserve">  3. Quantos minutos a pe ate a estacao? Qual a rua exata?  (Then check it yourself.)</t>
        </is>
      </c>
    </row>
    <row r="39">
      <c r="A39" s="19" t="inlineStr">
        <is>
          <t xml:space="preserve">  4. Qual a garantia aceita, e qual a renda minima exigida?  (The income screen, before you fall in love.)</t>
        </is>
      </c>
    </row>
    <row r="40">
      <c r="A40" s="19" t="inlineStr">
        <is>
          <t xml:space="preserve">  5. O imovel ainda esta disponivel? Quando o anuncio foi atualizado?</t>
        </is>
      </c>
    </row>
    <row r="41">
      <c r="A41" s="19" t="inlineStr">
        <is>
          <t xml:space="preserve">  6. Os dois dormitorios tem janela? Pode me enviar a planta?</t>
        </is>
      </c>
    </row>
    <row r="42">
      <c r="A42" s="19" t="inlineStr">
        <is>
          <t xml:space="preserve">  7. Quantas unidades tem o predio?  (More units = a doorman you can actually afford.)</t>
        </is>
      </c>
    </row>
    <row r="43">
      <c r="A43" s="19" t="inlineStr">
        <is>
          <t xml:space="preserve">  8. Voces aceitam Garantti ou CredPago?  (The no-income-proof route.)</t>
        </is>
      </c>
    </row>
    <row r="44">
      <c r="A44" s="19" t="inlineStr"/>
    </row>
    <row r="45">
      <c r="A45" s="25" t="inlineStr">
        <is>
          <t>AND THE ONE THING ALMOST NOBODY DOES</t>
        </is>
      </c>
    </row>
    <row r="46">
      <c r="A46" s="19" t="inlineStr">
        <is>
          <t>Go back alone, at 22h30 on a weeknight, and walk from the station to the front door. Then stand outside the building for two minutes.</t>
        </is>
      </c>
    </row>
    <row r="47">
      <c r="A47" s="19" t="inlineStr">
        <is>
          <t>That single walk will tell you more than every number in this file. If it feels wrong, it is wrong - and no amount of square metres fixes it.</t>
        </is>
      </c>
    </row>
    <row r="48">
      <c r="A48" s="19" t="inlineStr"/>
    </row>
    <row r="49">
      <c r="A49" s="25" t="inlineStr">
        <is>
          <t>WHILE YOU ARE THERE, TALK TO A RESIDENT</t>
        </is>
      </c>
    </row>
    <row r="50">
      <c r="A50" s="19" t="inlineStr">
        <is>
          <t>Someone coming out of the building is the single best source of truth you will get. Ask: how long have you lived here? Is the porteiro</t>
        </is>
      </c>
    </row>
    <row r="51">
      <c r="A51" s="19" t="inlineStr">
        <is>
          <t>there all night? Has anything happened on this street? Would you walk here at midnight? Thirty seconds of that beats an hour with an agent.</t>
        </is>
      </c>
    </row>
  </sheetData>
  <dataValidations count="1">
    <dataValidation sqref="E6:M32" showDropDown="0" showInputMessage="0" showErrorMessage="0" allowBlank="1" type="list">
      <formula1>"0,1,2"</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65"/>
  <sheetViews>
    <sheetView showGridLines="0" workbookViewId="0">
      <selection activeCell="A1" sqref="A1"/>
    </sheetView>
  </sheetViews>
  <sheetFormatPr baseColWidth="8" defaultRowHeight="15"/>
  <cols>
    <col width="140" customWidth="1" min="1" max="1"/>
  </cols>
  <sheetData>
    <row r="1">
      <c r="A1" s="1" t="inlineStr">
        <is>
          <t>SOURCES, METHOD, AND WHAT WE COULD NOT VERIFY</t>
        </is>
      </c>
    </row>
    <row r="2">
      <c r="A2" s="2" t="inlineStr">
        <is>
          <t>Compiled 20 September 2026.</t>
        </is>
      </c>
    </row>
    <row r="3">
      <c r="A3" s="5" t="inlineStr"/>
    </row>
    <row r="4">
      <c r="A4" s="4" t="inlineStr">
        <is>
          <t>HOW THIS WAS BUILT</t>
        </is>
      </c>
    </row>
    <row r="5">
      <c r="A5" s="5" t="inlineStr">
        <is>
          <t>Thirteen researchers worked the city in parallel - one per metro corridor, plus specialists on crime data and rental mechanics.</t>
        </is>
      </c>
    </row>
    <row r="6">
      <c r="A6" s="5" t="inlineStr">
        <is>
          <t>The major portals (VivaReal, ZAP, Imovelweb, QuintoAndar, OLX) sit behind Cloudflare and refuse automated access. The way through was the</t>
        </is>
      </c>
    </row>
    <row r="7">
      <c r="A7" s="5" t="inlineStr">
        <is>
          <t>regional broker sites, which are not protected and - crucially - publish rent AND condominio together, which is the number that decides</t>
        </is>
      </c>
    </row>
    <row r="8">
      <c r="A8" s="5" t="inlineStr">
        <is>
          <t>everything. Roughly 500 individual listings were examined. Where a figure could not be verified, it is marked as such rather than guessed.</t>
        </is>
      </c>
    </row>
    <row r="9">
      <c r="A9" s="5" t="inlineStr"/>
    </row>
    <row r="10">
      <c r="A10" s="4" t="inlineStr">
        <is>
          <t>PORTALS THAT WORK - use these yourself</t>
        </is>
      </c>
    </row>
    <row r="11">
      <c r="A11" s="5" t="inlineStr">
        <is>
          <t>chavesnamao.com.br/apartamentos-para-alugar/sp-sao-paulo/&lt;bairro&gt;/2-quartos/    - street addresses, rent + condominio, IPTU on detail pages</t>
        </is>
      </c>
    </row>
    <row r="12">
      <c r="A12" s="5" t="inlineStr">
        <is>
          <t>chavesnamao.com.br/apartamentos-para-alugar/sp-sao-paulo/bairros/&lt;rua-slug&gt;/     - SEARCH BY STREET. The best trick found in the whole exercise.</t>
        </is>
      </c>
    </row>
    <row r="13">
      <c r="A13" s="5" t="inlineStr">
        <is>
          <t>chavesnamao.com.br/apartamentos-para-alugar-direto-com-o-proprietario/sp-sao-paulo/&lt;bairro&gt;/   - owner-direct, no agency fee</t>
        </is>
      </c>
    </row>
    <row r="14">
      <c r="A14" s="5" t="inlineStr">
        <is>
          <t xml:space="preserve">   (chavesnamao also syndicates QuintoAndar's stock, which is how that Cloudflare-blocked inventory was reached.)</t>
        </is>
      </c>
    </row>
    <row r="15">
      <c r="A15" s="5" t="inlineStr"/>
    </row>
    <row r="16">
      <c r="A16" s="3" t="inlineStr">
        <is>
          <t>THE FOUR SIBLING SITES - using the wrong one silently returns the wrong side of the city, which cost several researchers real time:</t>
        </is>
      </c>
    </row>
    <row r="17">
      <c r="A17" s="5" t="inlineStr">
        <is>
          <t xml:space="preserve">   zoimovel.com.br = Zona OESTE      zsimovel.com.br = Zona SUL      znimovel.com.br = Zona NORTE      zlimovel.com.br = Zona LESTE</t>
        </is>
      </c>
    </row>
    <row r="18">
      <c r="A18" s="5" t="inlineStr">
        <is>
          <t xml:space="preserve">   znimovel also has a genuine portaria-24h filter per neighbourhood: /imoveis-seo/alugar-apartamento-com-portaria-24-horas-&lt;bairro&gt;-zona-norte-sao-paulo/</t>
        </is>
      </c>
    </row>
    <row r="19">
      <c r="A19" s="5" t="inlineStr">
        <is>
          <t xml:space="preserve">   (Warning: the equivalent portaria pages on zlimovel are FAKE filters - they return unfiltered results.)</t>
        </is>
      </c>
    </row>
    <row r="20">
      <c r="A20" s="5" t="inlineStr"/>
    </row>
    <row r="21">
      <c r="A21" s="5" t="inlineStr">
        <is>
          <t>portalipiranga.com.br - one of the very few publishing IPTU per unit      pcimoveiszn.com.br - portaria-24h filter, Zona Norte only</t>
        </is>
      </c>
    </row>
    <row r="22">
      <c r="A22" s="5" t="inlineStr">
        <is>
          <t>butantaimoveis.com.br - detail pages show condominio, IPTU and amenities   planalimoveis.com.br - publishes IPTU up front</t>
        </is>
      </c>
    </row>
    <row r="23">
      <c r="A23" s="5" t="inlineStr">
        <is>
          <t>crimebrasil.com.br/bairro/sp/sao-paulo/&lt;bairro&gt; - crime per 100k by district, from SSP/SP data</t>
        </is>
      </c>
    </row>
    <row r="24">
      <c r="A24" s="5" t="inlineStr">
        <is>
          <t>quintoandar.com.br/regioes-atendidas/&lt;bairro&gt;-... - resident surveys on safety and lighting, with sample sizes</t>
        </is>
      </c>
    </row>
    <row r="25">
      <c r="A25" s="5" t="inlineStr"/>
    </row>
    <row r="26">
      <c r="A26" s="3" t="inlineStr">
        <is>
          <t>NOTE: chavesnamao ignores ?pagina=2 - you only ever see the first ~15 of hundreds of results. Search many bairro and street slugs instead</t>
        </is>
      </c>
    </row>
    <row r="27">
      <c r="A27" s="3" t="inlineStr">
        <is>
          <t>of trying to paginate. There is substantial inventory nobody has looked at, and cheaper doorman units may well be sitting in it.</t>
        </is>
      </c>
    </row>
    <row r="28">
      <c r="A28" s="5" t="inlineStr"/>
    </row>
    <row r="29">
      <c r="A29" s="4" t="inlineStr">
        <is>
          <t>KEY SOURCES FOR THE FACTS IN THIS FILE</t>
        </is>
      </c>
    </row>
    <row r="30">
      <c r="A30" s="5" t="inlineStr">
        <is>
          <t>Metro hours: metro.sp.gov.br (Estacao Conceicao) and trilhos.motiva.com.br (ViaMobilidade FAQ: 'todos os dias, das 04h a 0h')</t>
        </is>
      </c>
    </row>
    <row r="31">
      <c r="A31" s="5" t="inlineStr">
        <is>
          <t>Saturday 24h service: agenciabrasil.ebc.com.br, 6 Dec 2025 - lines 1, 2, 3, 15 only, experimental, no inter-line transfers after midnight</t>
        </is>
      </c>
    </row>
    <row r="32">
      <c r="A32" s="5" t="inlineStr">
        <is>
          <t>Crime by district: SSP-SP via crimebrasil.com.br, Aug 2025 - Jul 2026   |   Phone-robbery trends: metropoles.com, fecap.br (CEEC/FECAP)</t>
        </is>
      </c>
    </row>
    <row r="33">
      <c r="A33" s="5" t="inlineStr">
        <is>
          <t>Tenancy law: Lei 8.245/91 official text at planalto.gov.br/ccivil_03/leis/l8245.htm</t>
        </is>
      </c>
    </row>
    <row r="34">
      <c r="A34" s="5" t="inlineStr">
        <is>
          <t>Guarantee rules and income test: quintoandar.com.br/guias (analise-de-credito, documentos-pra-alugar, aluguel-sem-fiador)</t>
        </is>
      </c>
    </row>
    <row r="35">
      <c r="A35" s="5" t="inlineStr">
        <is>
          <t>No-income-proof guarantors: garantti.com.br, loft.com.br/credpago   |   IPTU: prefeitura.sp.gov.br   |   Gyms: smartfit.com.br/planos</t>
        </is>
      </c>
    </row>
    <row r="36">
      <c r="A36" s="5" t="inlineStr">
        <is>
          <t>Women's safety services: agenciasp.sp.gov.br   |   Rent indices: QuintoAndar/Imovelweb and FipeZAP, Jul-Aug 2026</t>
        </is>
      </c>
    </row>
    <row r="37">
      <c r="A37" s="5" t="inlineStr">
        <is>
          <t>Linha 9 reliability: cnnbrasil.com.br, exame.com, metropoles.com, diariodotransporte.com.br, revistaforum.com.br</t>
        </is>
      </c>
    </row>
    <row r="38">
      <c r="A38" s="5" t="inlineStr"/>
    </row>
    <row r="39">
      <c r="A39" s="4" t="inlineStr">
        <is>
          <t>WHAT WE COULD NOT VERIFY - stated plainly, because it matters</t>
        </is>
      </c>
    </row>
    <row r="40">
      <c r="A40" s="5" t="inlineStr">
        <is>
          <t>1. PORTARIA STATUS on most listings. It was confirmed on about fifteen. Where this file says '?', it means UNKNOWN, not absent - agencies</t>
        </is>
      </c>
    </row>
    <row r="41">
      <c r="A41" s="5" t="inlineStr">
        <is>
          <t xml:space="preserve">   routinely omit it, so a blank is weak evidence. And even a stated 'portaria 24h' does not prove a human is there. Every one needs a call.</t>
        </is>
      </c>
    </row>
    <row r="42">
      <c r="A42" s="5" t="inlineStr">
        <is>
          <t>2. WALKING TIMES. Only a handful of adverts published a distance. Where a walk time appears here it was either quoted in the listing or</t>
        </is>
      </c>
    </row>
    <row r="43">
      <c r="A43" s="5" t="inlineStr">
        <is>
          <t xml:space="preserve">   computed geometrically - in the east zone, geocoded properly against station coordinates. None are measured walking routes. Check yours.</t>
        </is>
      </c>
    </row>
    <row r="44">
      <c r="A44" s="5" t="inlineStr">
        <is>
          <t>3. AVAILABILITY. No agency was phoned. Brazilian portals carry a lot of stale inventory and this market moved about 14% in six months.</t>
        </is>
      </c>
    </row>
    <row r="45">
      <c r="A45" s="5" t="inlineStr">
        <is>
          <t xml:space="preserve">   Every price here is a 20 September 2026 snapshot. Assume a meaningful share are already gone, and re-confirm before you travel.</t>
        </is>
      </c>
    </row>
    <row r="46">
      <c r="A46" s="5" t="inlineStr">
        <is>
          <t>4. STREET NUMBERS are withheld on roughly half these listings - standard practice. For streets whose character changes along their length</t>
        </is>
      </c>
    </row>
    <row r="47">
      <c r="A47" s="5" t="inlineStr">
        <is>
          <t xml:space="preserve">   (Rua Bueno de Andrade, Rua Santo Antonio), the number materially changes the verdict. Ask for it.</t>
        </is>
      </c>
    </row>
    <row r="48">
      <c r="A48" s="5" t="inlineStr">
        <is>
          <t>5. BLOCK-LEVEL SAFETY. No source publishes it. The street-level judgements here combine district crime data, resident surveys and local</t>
        </is>
      </c>
    </row>
    <row r="49">
      <c r="A49" s="5" t="inlineStr">
        <is>
          <t xml:space="preserve">   reporting. They are informed opinion, not measurement. Nothing replaces walking the block yourself at 22h30.</t>
        </is>
      </c>
    </row>
    <row r="50">
      <c r="A50" s="5" t="inlineStr">
        <is>
          <t>6. LATE-NIGHT FARES are estimated from Uber's published structure and should be treated as a lower bound - app prices have risen sharply.</t>
        </is>
      </c>
    </row>
    <row r="51">
      <c r="A51" s="5" t="inlineStr">
        <is>
          <t xml:space="preserve">   Screenshot live quotes for your actual addresses before deciding.</t>
        </is>
      </c>
    </row>
    <row r="52">
      <c r="A52" s="5" t="inlineStr">
        <is>
          <t>7. THE SATURDAY 24-HOUR TRIAL may be expiring this month. Confirm before signing anything that depends on it.</t>
        </is>
      </c>
    </row>
    <row r="53">
      <c r="A53" s="5" t="inlineStr">
        <is>
          <t>8. One researcher was still sweeping the Linha 5-Lilas corridor around Campo Limpo when this file was compiled. Early indications were of</t>
        </is>
      </c>
    </row>
    <row r="54">
      <c r="A54" s="5" t="inlineStr">
        <is>
          <t xml:space="preserve">   42-47 m2 two-bedrooms at R$1,850-2,250 all-in - potentially cheaper than anything here. That thread is unfinished; ask for the update.</t>
        </is>
      </c>
    </row>
    <row r="55">
      <c r="A55" s="5" t="inlineStr"/>
    </row>
    <row r="56">
      <c r="A56" s="4" t="inlineStr">
        <is>
          <t>A CLOSING NOTE</t>
        </is>
      </c>
    </row>
    <row r="57">
      <c r="A57" s="5" t="inlineStr">
        <is>
          <t>Your budget is tight but it is not unrealistic. It was only unrealistic for the three neighbourhoods you started with, and the arithmetic</t>
        </is>
      </c>
    </row>
    <row r="58">
      <c r="A58" s="5" t="inlineStr">
        <is>
          <t>there is not close - Itaim and Pinheiros want two to three times your ceiling for a two-bedroom. That was never going to yield.</t>
        </is>
      </c>
    </row>
    <row r="59">
      <c r="A59" s="5" t="inlineStr"/>
    </row>
    <row r="60">
      <c r="A60" s="5" t="inlineStr">
        <is>
          <t>What the search actually found is better than expected: one flat that meets every condition you set, a dozen more that meet three of four,</t>
        </is>
      </c>
    </row>
    <row r="61">
      <c r="A61" s="5" t="inlineStr">
        <is>
          <t>and the genuinely surprising news that almost every district on this list has LOWER street robbery than the Itaim Bibi you are leaving.</t>
        </is>
      </c>
    </row>
    <row r="62">
      <c r="A62" s="5" t="inlineStr">
        <is>
          <t>You are not trading safety for space. On the numbers, you are getting both.</t>
        </is>
      </c>
    </row>
    <row r="63">
      <c r="A63" s="5" t="inlineStr"/>
    </row>
    <row r="64">
      <c r="A64" s="5" t="inlineStr">
        <is>
          <t>The two things most likely to decide how this goes are not on any listing page: getting a guarantor arrangement pre-approved, and being</t>
        </is>
      </c>
    </row>
    <row r="65">
      <c r="A65" s="5" t="inlineStr">
        <is>
          <t>honest in advance about the nights when the metro has stopped running. Do those two first. The rest is just viewings.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2026-09-20T12:47:40Z</dcterms:created>
  <dcterms:modified xsi:type="dcterms:W3CDTF">2026-09-20T12:47:40Z</dcterms:modified>
</cp:coreProperties>
</file>